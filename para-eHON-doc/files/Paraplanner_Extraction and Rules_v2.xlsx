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ables/table9.xml" ContentType="application/vnd.openxmlformats-officedocument.spreadsheetml.table+xml"/>
  <Override PartName="/xl/comments4.xml" ContentType="application/vnd.openxmlformats-officedocument.spreadsheetml.comments+xml"/>
  <Override PartName="/xl/tables/table10.xml" ContentType="application/vnd.openxmlformats-officedocument.spreadsheetml.table+xml"/>
  <Override PartName="/xl/comments5.xml" ContentType="application/vnd.openxmlformats-officedocument.spreadsheetml.comments+xml"/>
  <Override PartName="/xl/tables/table11.xml" ContentType="application/vnd.openxmlformats-officedocument.spreadsheetml.table+xml"/>
  <Override PartName="/xl/comments6.xml" ContentType="application/vnd.openxmlformats-officedocument.spreadsheetml.comments+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comments8.xml" ContentType="application/vnd.openxmlformats-officedocument.spreadsheetml.comments+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ktop\Cogninest AI\Diloqa\paraplanner\2026\files\"/>
    </mc:Choice>
  </mc:AlternateContent>
  <xr:revisionPtr revIDLastSave="0" documentId="13_ncr:1_{8FF2B25E-F7C2-46C1-A0A7-BC483AEFC30C}" xr6:coauthVersionLast="47" xr6:coauthVersionMax="47" xr10:uidLastSave="{00000000-0000-0000-0000-000000000000}"/>
  <bookViews>
    <workbookView xWindow="-110" yWindow="-110" windowWidth="38620" windowHeight="21100" firstSheet="4" activeTab="4" xr2:uid="{EC5E2995-05EA-45AD-B039-1C210F2ABAE5}"/>
  </bookViews>
  <sheets>
    <sheet name="Extraction_FPQ_RAQ (2)" sheetId="17" state="hidden" r:id="rId1"/>
    <sheet name="2_Business Rules - HON (4)" sheetId="21" state="hidden" r:id="rId2"/>
    <sheet name="2_Business Rules - HON (3)" sheetId="23" state="hidden" r:id="rId3"/>
    <sheet name="Data Model" sheetId="16" r:id="rId4"/>
    <sheet name="Extraction Fields_JSON" sheetId="28" r:id="rId5"/>
    <sheet name="eHON_Business Rules_PDF" sheetId="12" r:id="rId6"/>
    <sheet name="Demo" sheetId="26" r:id="rId7"/>
    <sheet name="Business Rules_Recommendati (2)" sheetId="15" state="hidden" r:id="rId8"/>
    <sheet name="Business Rules - HON &amp; ATR" sheetId="8" state="hidden" r:id="rId9"/>
    <sheet name="2_Business Rules - HON &amp; ATR" sheetId="9" state="hidden" r:id="rId10"/>
    <sheet name="HON" sheetId="2" state="hidden" r:id="rId11"/>
    <sheet name="ATR" sheetId="3" state="hidden" r:id="rId12"/>
    <sheet name="Extraction_ATR" sheetId="6" state="hidden" r:id="rId13"/>
    <sheet name="OLD_Extraction" sheetId="4" state="hidden" r:id="rId14"/>
    <sheet name="Business Rules_Recommendation R" sheetId="10" state="hidden" r:id="rId15"/>
    <sheet name="Business Rules_HON" sheetId="7" state="hidden" r:id="rId16"/>
  </sheets>
  <externalReferences>
    <externalReference r:id="rId1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21" l="1"/>
  <c r="U23" i="4"/>
  <c r="U25" i="4"/>
  <c r="U32" i="4"/>
  <c r="U33" i="4"/>
  <c r="I78" i="2" a="1"/>
  <c r="I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2" authorId="0" shapeId="0" xr:uid="{958B8919-23C2-4368-A56F-2471FEB280CD}">
      <text>
        <r>
          <rPr>
            <sz val="9"/>
            <color indexed="81"/>
            <rFont val="Tahoma"/>
            <family val="2"/>
          </rPr>
          <t xml:space="preserve">Should also extract the info from PSA?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04" authorId="0" shapeId="0" xr:uid="{3E274E1E-D5BF-4AB0-93AE-EB9169889083}">
      <text>
        <r>
          <rPr>
            <sz val="9"/>
            <color indexed="81"/>
            <rFont val="Tahoma"/>
            <family val="2"/>
          </rPr>
          <t xml:space="preserve">Should also extract the info from PSA?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07" authorId="0" shapeId="0" xr:uid="{E1FB0828-4F15-4E99-956D-B96C6182E626}">
      <text>
        <r>
          <rPr>
            <sz val="9"/>
            <color indexed="81"/>
            <rFont val="Tahoma"/>
            <family val="2"/>
          </rPr>
          <t xml:space="preserve">Should also extract the info from PSA?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16" authorId="0" shapeId="0" xr:uid="{6E6C8B2D-EA95-4FF4-8D87-CC5204371BC7}">
      <text>
        <r>
          <rPr>
            <sz val="9"/>
            <color indexed="81"/>
            <rFont val="Tahoma"/>
            <family val="2"/>
          </rPr>
          <t xml:space="preserve">Should also extract the info from PSA?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95" authorId="0" shapeId="0" xr:uid="{ABD743D3-ADB8-4A74-A7C1-FF29063A9F51}">
      <text>
        <r>
          <rPr>
            <sz val="9"/>
            <color indexed="81"/>
            <rFont val="Tahoma"/>
            <family val="2"/>
          </rPr>
          <t xml:space="preserve">Should also extract the info from PSA?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8" authorId="0" shapeId="0" xr:uid="{535E6B9D-4EA3-4FF8-A0B2-7BF70E582E19}">
      <text>
        <r>
          <rPr>
            <sz val="9"/>
            <color indexed="81"/>
            <rFont val="Tahoma"/>
            <family val="2"/>
          </rPr>
          <t xml:space="preserve">Should also extract the info from PSA?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 authorId="0" shapeId="0" xr:uid="{C9CC1469-FEA9-424C-8FAA-9B120CDD92B0}">
      <text>
        <r>
          <rPr>
            <sz val="9"/>
            <color indexed="81"/>
            <rFont val="Tahoma"/>
            <family val="2"/>
          </rPr>
          <t xml:space="preserve">Should also extract the info from PSA?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2" authorId="0" shapeId="0" xr:uid="{FF429116-9452-4615-8D86-441A23F96286}">
      <text>
        <r>
          <rPr>
            <sz val="9"/>
            <color indexed="81"/>
            <rFont val="Tahoma"/>
            <family val="2"/>
          </rPr>
          <t xml:space="preserve">Should also extract the info from PSA?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<sst xmlns="http://schemas.openxmlformats.org/spreadsheetml/2006/main" count="9218" uniqueCount="1527">
  <si>
    <t>#</t>
  </si>
  <si>
    <t>Section / Data Category</t>
  </si>
  <si>
    <t>Field</t>
  </si>
  <si>
    <t>Data Type</t>
  </si>
  <si>
    <t>Description</t>
  </si>
  <si>
    <t>Documents extraction source</t>
  </si>
  <si>
    <t>Recommendation Report</t>
  </si>
  <si>
    <t>Risk Assessment Questionnaire</t>
  </si>
  <si>
    <t>Financial Planning Questionnaire</t>
  </si>
  <si>
    <t>Illustration Report</t>
  </si>
  <si>
    <t>Client Agreement</t>
  </si>
  <si>
    <t>Client Fee Agreement</t>
  </si>
  <si>
    <t>SmartSearch</t>
  </si>
  <si>
    <t>Pension Switch Analysis (PSA)</t>
  </si>
  <si>
    <t>Cashflow</t>
  </si>
  <si>
    <t>Ceding Scheme Info</t>
  </si>
  <si>
    <t>Comparision Research</t>
  </si>
  <si>
    <t>Extraction frequency from Recommendation Report</t>
  </si>
  <si>
    <t>Business Rule / Logic</t>
  </si>
  <si>
    <t>1. Client Demographics</t>
  </si>
  <si>
    <t>Client ID</t>
  </si>
  <si>
    <t>String</t>
  </si>
  <si>
    <t>Unique client identifier i.e. SSID</t>
  </si>
  <si>
    <t>Financial Planning Questionnaire, SmartSearch</t>
  </si>
  <si>
    <t>No</t>
  </si>
  <si>
    <t>Yes</t>
  </si>
  <si>
    <t>NA</t>
  </si>
  <si>
    <t>All the fields from FPQ are related to Client 1 and Client 2 so must be extracted accordingly. For each client, extract from transcript or FPQ or Recommendation Report; if missing, generate per org rules. Repeat for each client found</t>
  </si>
  <si>
    <t>Client Name(s)</t>
  </si>
  <si>
    <t>Full name of the client</t>
  </si>
  <si>
    <t>Recommendation Report, Risk Assessment Questionnaire, Financial Planning Questionnaire, Illustration Report, Client Agreement, Client Fee Agreement, SmartSearch, Pension Switch Analysis (PSA), Cashflow, Ceding Scheme Info</t>
  </si>
  <si>
    <t>Single</t>
  </si>
  <si>
    <t xml:space="preserve">Extract client full name(s) from FPQ or adviser greetings, introductions, or direct address in transcript. Look for patterns like "Good morning [Name]", "Thank you [Name] for", client self-introductions. For each client, extract Forename and Surname. Middlename from Forename can be ignored. Extract full names of client(s), separated by "&amp;" if there are 2 or more clients from </t>
  </si>
  <si>
    <t>Date of Birth</t>
  </si>
  <si>
    <t>Date</t>
  </si>
  <si>
    <t>Date of birth</t>
  </si>
  <si>
    <t>Financial Planning Questionnaire, Illustration Report, SmartSearch, Pension Switch Analysis (PSA), Cashflow</t>
  </si>
  <si>
    <t>For each client, extract date of birth or look for references like "my birthday is", "I was born on"
-Display using dd-Month-YYYY format (e.g., 24 November 1990)</t>
  </si>
  <si>
    <t>Age</t>
  </si>
  <si>
    <t>Integer</t>
  </si>
  <si>
    <t>Age of the first client in whole years.</t>
  </si>
  <si>
    <t>Recommendation Report, Financial Planning Questionnaire, Illustration Report, Pension Switch Analysis (PSA), Cashflow</t>
  </si>
  <si>
    <t>Multiple</t>
  </si>
  <si>
    <t>For each client, extract age mentions: "I am [X] years old", "I'm [X]", "[X]-year-old", "Age: [X]" or calculate from date of birth</t>
  </si>
  <si>
    <t>Employment Status</t>
  </si>
  <si>
    <t>Enum</t>
  </si>
  <si>
    <t>Employment status of the first client such as Employed, Self-employed, Retired</t>
  </si>
  <si>
    <t>Recommendation Report, Financial Planning Questionnaire</t>
  </si>
  <si>
    <t>For each client, extract enum from employment status or role mentioned and map on [Employed, Self-employed, Unemployed, Retired, Other]</t>
  </si>
  <si>
    <t>Intended Retirement Age</t>
  </si>
  <si>
    <t>The Intended Retirement Age of client
Prsent in mutiple sections of FPQ( 'at what age do you anticipate retiring'? From Need Analysis Question)</t>
  </si>
  <si>
    <t>Recommendation Report, Financial Planning Questionnaire, Illustration Report, Ceding Scheme Info</t>
  </si>
  <si>
    <t>If a client Employment Status = retired, then this will not be be captured in both RR and FPQ / Null
For each client where Employment Status is not retired, extract intended retirement age</t>
  </si>
  <si>
    <t>Occupation</t>
  </si>
  <si>
    <t>The occupation or job title of the client</t>
  </si>
  <si>
    <t>If a client Employment Status = retired, then this will not be be captured in both RR and FPQ / Null
For each client where Employment Status is not retired, extract occupation or look for references like "I am a"</t>
  </si>
  <si>
    <t>Marital Status</t>
  </si>
  <si>
    <t>The marital status of the client, such as Single, Married, Divorced, or Widow.</t>
  </si>
  <si>
    <t>For each client, extract  from transcript or FPQ or Recommendation Report enum from marital status and map on [Single, Married, Divorced, Widowed, Other]</t>
  </si>
  <si>
    <t>Family Members</t>
  </si>
  <si>
    <t>No of family members of the client</t>
  </si>
  <si>
    <t>For each client extract from transcript or FPQ explicit count of Family Members
The field "Family Members" is not always explicitly mentioned in the transcript or FPQ. The system should use LLM capabilities to infer the number of family members by analyzing relevant sections, such as marital status and number of children/dependents.</t>
  </si>
  <si>
    <t>No of Dependents</t>
  </si>
  <si>
    <t>No of  family members that are financially dependent on the client</t>
  </si>
  <si>
    <t>There is a section of Children &amp; Other dependants, where LLM would need to count members who have financially dependent = yes</t>
  </si>
  <si>
    <t>Country of Residence</t>
  </si>
  <si>
    <t>Country of Residence of the client</t>
  </si>
  <si>
    <t>For each client, extract country of residence from transcript or FPQ or Recommendation Report</t>
  </si>
  <si>
    <t>UK Resident For Tax</t>
  </si>
  <si>
    <t>Yes/No</t>
  </si>
  <si>
    <t>For each client, extract enum from transcript or FPQ or Recommendation Report UK resident for tax and map on [Yes, No]</t>
  </si>
  <si>
    <t>UK Domicile</t>
  </si>
  <si>
    <t>For each client, extract from transcript or FPQ or Recommendation Report enum from UK Domicile and map on [Yes, No]</t>
  </si>
  <si>
    <t>Accomodation type</t>
  </si>
  <si>
    <t>Owned/Rent</t>
  </si>
  <si>
    <t>For each client, extract from transcript or FPQ or Recommendation Report enum from accomodation type and map on [Owned, Rent]</t>
  </si>
  <si>
    <t>Have you made a Will</t>
  </si>
  <si>
    <t>Indicates whether the client has created a legal will. It is a document that specifies how their assets should be distributed after their death. Possible values: 'Yes' or 'No'</t>
  </si>
  <si>
    <t>For each client, extract from transcript or FPQ or Recommendation Report enum from have you made a will and map on [Yes, No]</t>
  </si>
  <si>
    <t>Are your Wills up to date</t>
  </si>
  <si>
    <t>Indicates whether the client's will is current and reflects their latest wishes. Possible values: 'Yes' or 'No'</t>
  </si>
  <si>
    <t>For each client, extract from transcript or FPQ or Recommendation Report enum from are your wills up to date and map on [Yes, No]</t>
  </si>
  <si>
    <t>Income required in Retirement</t>
  </si>
  <si>
    <t>Captures the expected Income required by client in Retirement</t>
  </si>
  <si>
    <t/>
  </si>
  <si>
    <t>For each client, extract from transcript or FPQ or Recommendation Report explicit figure on expected retirement income with proper details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</si>
  <si>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State of Health</t>
  </si>
  <si>
    <t>Describes the client's overall physical and mental health condition as stated in the document.</t>
  </si>
  <si>
    <t>For each client, extract from transcript or FPQ or Recommendation Report statement or quote on physical/mental health status</t>
  </si>
  <si>
    <t>Is Vulnerable Client</t>
  </si>
  <si>
    <t>Indicates wherther the Client is Vulnerable. Possible values: Yes or No</t>
  </si>
  <si>
    <t>For each client, extract from transcript or FPQ or Recommendation Report enum from client vulnerability or regulatory criteria check and map on [Yes, No]</t>
  </si>
  <si>
    <t>Director</t>
  </si>
  <si>
    <t>Check if the Employment status is  Self employed and/or occupation = Director and/or Check from notes</t>
  </si>
  <si>
    <t>For each client, check if Employment Status is Self-employed or Occupation is "Director" or explicit mention in notes. If any are true, set as "Yes"; otherwise, "No"</t>
  </si>
  <si>
    <t>Address</t>
  </si>
  <si>
    <t>Extract the Address from Smart Search Report and Financial Planning Questionnaire</t>
  </si>
  <si>
    <t>For each client, extract the address from either the Smart Search Report or FPQ</t>
  </si>
  <si>
    <t>Vulnerable Indicator</t>
  </si>
  <si>
    <t>Set this field to “Yes” only if there is a recent indication (within the last 12 months) that the client is experiencing one or more of the following situations:
Bereavement (loss of a loved one)
Divorce or separation
Job loss or redundancy
Serious or critical illness (e.g., cancer)
Mental health challenges
If there is no indication within the last year, set the field to “No.</t>
  </si>
  <si>
    <t>For each client, set to “Yes” only if there is evidence in the transcript or FPQ or notes of a qualifying event within the last 12 months: bereavement, divorce/separation, job loss/redundancy, serious/critical illness, or mental health challenges. Otherwise, set to “No”</t>
  </si>
  <si>
    <t>2. Client Financial Profile</t>
  </si>
  <si>
    <t>Total Net Monthly Income</t>
  </si>
  <si>
    <t>The client's total net monthly income, as stated in the document.</t>
  </si>
  <si>
    <t>For each client, extract from transcript or FPQ or Recommendation Report stated or calculated net monthly income with proper details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</si>
  <si>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Monthly Expenditure</t>
  </si>
  <si>
    <t>The client's total monthly expenditure as stated in the document.</t>
  </si>
  <si>
    <t>For each client, extract stated or calculated total monthly outgoings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</si>
  <si>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Mortgages &amp; Rent</t>
  </si>
  <si>
    <t>For each client, extract monthly mortgage or rent payments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</si>
  <si>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Loans &amp; Credit</t>
  </si>
  <si>
    <t>For each client, extract amount paid for loans/credit each month or outstanding balance if only a lump-sum figure is given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</si>
  <si>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Pensions, Savings &amp; Insurance</t>
  </si>
  <si>
    <t>For each client, extract total contributions/payments for pensions, savings, and insurance each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</si>
  <si>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Household &amp; Utilities</t>
  </si>
  <si>
    <t>For each client, extract monthly household and utilities expenses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</si>
  <si>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Travel &amp; Transport</t>
  </si>
  <si>
    <t>For each client, extract travel and transport monthly expenses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</si>
  <si>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Discretionary &amp; Leisure</t>
  </si>
  <si>
    <t>For each client, extract non-essential/leisure/discretionary spending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</si>
  <si>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Child Care</t>
  </si>
  <si>
    <t>For each client, extract expenses specifically for child care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</si>
  <si>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All household expenditure</t>
  </si>
  <si>
    <t>For each client, extract, or sum, total for all household expenses if provided as aggregate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</si>
  <si>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Monthly Surplus Income</t>
  </si>
  <si>
    <t>The client's monthly surplus income, which is generally computed by subtracting Total Monthly Expenditure from Total Net Monthly Income.</t>
  </si>
  <si>
    <t>For each client, calculate or extract if explicitly stated any monthly surplus income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</si>
  <si>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Assets</t>
  </si>
  <si>
    <t xml:space="preserve">The total value of all assets owned by the client, including cash, investments, real estate, vehicles, and other possessions of value. </t>
  </si>
  <si>
    <t>For each client, extract stated asset total or sum all stated individual asset fields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</si>
  <si>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Home</t>
  </si>
  <si>
    <t>The monetary value of the client's home.</t>
  </si>
  <si>
    <t>For each client, extract current stated or appraised value of main residence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</si>
  <si>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Other Property</t>
  </si>
  <si>
    <t>The monetary value of any additional properties owned by the client apart from the primary residence, such as vacation homes or rental properties.</t>
  </si>
  <si>
    <t>For each client, extract total value of all non-primary properties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</si>
  <si>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 xml:space="preserve">Cash </t>
  </si>
  <si>
    <t>The total cash holdings of the client, including physical cash and funds in checking/savings accounts.</t>
  </si>
  <si>
    <t>For each client, extract or sum all accounts identified as cash or equivalent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</si>
  <si>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Investment Bonds</t>
  </si>
  <si>
    <t>The total value of the client's holdings in investment bonds.</t>
  </si>
  <si>
    <t>For each client, extract or sum all holdings classified as investment bonds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</si>
  <si>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Pension Funds</t>
  </si>
  <si>
    <t xml:space="preserve">The total value of the client's pension funds, including workplace pensions, private pensions, and any other retirement savings plans. </t>
  </si>
  <si>
    <t>For each client, extract sum or stated value of pension holdings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</si>
  <si>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NISAs</t>
  </si>
  <si>
    <t>The total value of the client's NISAs (New Individual Savings Accounts)</t>
  </si>
  <si>
    <t>For each client, extract or sum all NISA account values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</si>
  <si>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Unit &amp; Investment Trusts OEICS</t>
  </si>
  <si>
    <t>The total value of the client's holdings in Unit Trusts, Investment Trusts, or OEICs (Open-Ended Investment Companies).</t>
  </si>
  <si>
    <t>For each client, extract combined or individual values for all Unit Trusts, Investment Trusts or OEICs (Open-Ended Investment Companies) products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</si>
  <si>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Shares</t>
  </si>
  <si>
    <t xml:space="preserve">The total value of the client's shareholdings, including listed and unlisted company shares. </t>
  </si>
  <si>
    <t>For each client, extract or sum holdings in shares (public or private)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</si>
  <si>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Business Assets</t>
  </si>
  <si>
    <t>The total value of the client's business assets, including ownership stakes, business property, and any other business-related holdings.</t>
  </si>
  <si>
    <t>For each client, extract explicit values for business holdings or related property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</si>
  <si>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All Other Assets</t>
  </si>
  <si>
    <t>The total value of all other assets owned by the client that are not listed in other asset categories.</t>
  </si>
  <si>
    <t>For each client, extract any stated value for assets not otherwise assigned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</si>
  <si>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Liabilities</t>
  </si>
  <si>
    <t>The total value of all liabilities owed by the client, including mortgages, loans, credit card debts, and other outstanding obligations.</t>
  </si>
  <si>
    <t>For each client, extract or sum all liabilities including mortgage, loans, cards, overdraft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</si>
  <si>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 xml:space="preserve">Mortgage (main residence) </t>
  </si>
  <si>
    <t xml:space="preserve">The outstanding mortgage balance for the client's primary residence. </t>
  </si>
  <si>
    <t>For each client, extract or sum all stated main mortgage balances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</si>
  <si>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Mortgage (other property)</t>
  </si>
  <si>
    <t>The outstanding mortgage balance for any other property owned by the client, such as second homes, investment properties, or holiday homes.</t>
  </si>
  <si>
    <t>For each client, extract or sum all stated other property mortgage balances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</si>
  <si>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Credit Cards</t>
  </si>
  <si>
    <t>The total outstanding balance on all credit cards held by the client.</t>
  </si>
  <si>
    <t>For each client, extract sum or explicit statement of credit card debt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</si>
  <si>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Overdraft</t>
  </si>
  <si>
    <t>The overdraft amount held by the client.</t>
  </si>
  <si>
    <t>For each client, extract stated overdraft amount if present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</si>
  <si>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Loans</t>
  </si>
  <si>
    <t xml:space="preserve">Loans related to education, vehicles, car finance or hire purchase (HP). </t>
  </si>
  <si>
    <t>For each client, extract the sum of any loans mentioned in the transcript as being for education costs, vehicle finance (car/motorbike), or hire purchase (HP)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</si>
  <si>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Net Worth</t>
  </si>
  <si>
    <t>Net worth (Total Assets - Total Liabilities)</t>
  </si>
  <si>
    <t>For each client, calculate if both assets and liabilities given, or extract explicit net worth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</si>
  <si>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Client Objectives</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</si>
  <si>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t>
  </si>
  <si>
    <t>For each client, extract all objectives from transcript or FPQ or Recommendation Report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t>
  </si>
  <si>
    <t>Investment Objectives Summary</t>
  </si>
  <si>
    <t>Captures the client  agreed goals and objectives for investing, after having a discussion with advisor</t>
  </si>
  <si>
    <t>For each client,extract word by word from  transcript or FPQ or Recommendation Report statements where the client explicitly references purpose or intended outcome for investing, after or during discussion with the adviser with proper details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Ignore generic or unqualified investment statements (e.g., “just investing” without further detail).</t>
  </si>
  <si>
    <t>Liquidity Needs</t>
  </si>
  <si>
    <t>For each client, extract from transcript or FPQ or Recommendation Report enum from liquidity needs and map on [Yes, No]</t>
  </si>
  <si>
    <t>Liquidity Need Amount</t>
  </si>
  <si>
    <t>How much cash is required</t>
  </si>
  <si>
    <t>For each client, extract cash/liquid assets required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</si>
  <si>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Liquidity Need Purpose</t>
  </si>
  <si>
    <t>Why the money is needed</t>
  </si>
  <si>
    <t>For each client, extract purpose of funds with proper details from transcript or FPQ or Recommendation Report ("for house deposit", "cover university fees")</t>
  </si>
  <si>
    <t>Liquidity time horizon</t>
  </si>
  <si>
    <t>When the money will be needed(1 year/2 years)</t>
  </si>
  <si>
    <t>For each clien, extract timeframe until needed for liquidity in years or period with proper details from transcript or FPQ or Recommendation Report</t>
  </si>
  <si>
    <t>Notes</t>
  </si>
  <si>
    <t>Within FPQ, a commentary is captured on Client goals, objectives, financial circumstances, recommendation, etc, which needs to be extracted in this field</t>
  </si>
  <si>
    <t>For each client:
- Extract any narrative commentary recorded in the transcript or FPQ any narrative around Goals &amp; Objectives, why goals matter, how the client feels about them (e.g., “Most important goal is helping daughter onto property ladder”, “Client is very anxious about retirement adequacy", “Open to delaying holiday home if markets perform poorly”)
- Any narrative commentary recorded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t>
  </si>
  <si>
    <t>Goals &amp; Purpose</t>
  </si>
  <si>
    <t>Extract the client’s stated goals or purpose for accessing the funds, such as capital growth, income, retirement, contingency, or funding a project.</t>
  </si>
  <si>
    <t>For each client:
-Extract all statements where the client (or adviser summarizing the client) explains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-If multiple distinct goals/purposes are found, list them sequentially as Goal 1, Goal 2, Goal 3, etc.
-List all in bullets in the order of importance (if stated or implied)
-Retain as much specific phrasing as possible (“to have flexibility and help my daughter buy first home” rather than “family support”) 
-Include negative/inverse goals if mentioned (“do not want my money locked up long term”)</t>
  </si>
  <si>
    <t>Investment Amount for Goal</t>
  </si>
  <si>
    <t>Identify the specific monetary amount allocated or earmarked towards achieving the goal.</t>
  </si>
  <si>
    <t>For each client's goal:
- Extract only statements where the client (or adviser summarizing the client) specifies a monetary amount tied to a particular goal or purpose.
- Include allocations for any valid goals (e.g., capital growth, income, retirement, contingency, project, debt, life event).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 Retain exact phrasing and figures where possible (e.g., “£50,000 for retirement” rather than “retirement allocation”).
- Exclude vague or non-specific references (e.g., “some money for later” without a clear amount).
- Record negative/inverse allocations if stated (e.g., “no funds allocated to debt repayment”)
- Apply the rule independently to each goal, so multiple goals can each have their own timeframe</t>
  </si>
  <si>
    <t>Time horizon for Goal</t>
  </si>
  <si>
    <t>Capture the expected timeframe for the goal, e.g., immediate, short-term, medium-term, or long-term.</t>
  </si>
  <si>
    <t>For each client's goal:
-Display from transcript or FPQ or Recommendation Report only statements where the client (or adviser summarizing the client) specifies the expected timeframe for achieving or funding that specific goal with proper details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t>
  </si>
  <si>
    <t>Investment Portfolio/Product for the Goal</t>
  </si>
  <si>
    <t>Extract any mentioned investment type, product, or portfolio linked to the goal, e.g., deposit, growth portfolio, annuity, ISA, pension.</t>
  </si>
  <si>
    <t>For each client’s goal:
- Extract only statements where the client (or adviser summarizing the client) specifies an investment type, product, or portfolio directly associated with that goal.
- Include any of the following categories if directly stated or clearly implied: [Deposit; Growth portfolio; Annuity; ISA (Individual Savings Account; Pension; Other recognized investment products (e.g., bonds, equities, mutual funds, ETFs)]
-If risk label, time horizon, or product subclass is mentioned, append detail in parentheses (e.g. “ISA (Stocks &amp; Shares)”)
- Exclude vague or non-specific references (e.g., “some product,” “general investing,” “whatever works”)
- Retain as much specific phrasing as possible (e.g., “corporate bond fund” rather than just “bond”)
- Include negative/inverse statements if mentioned (e.g., “do not want an annuity”)</t>
  </si>
  <si>
    <t>Do you wish to make new contributions or review existing plans?</t>
  </si>
  <si>
    <t>Identify whether it is a new contribution, review existing plans or both</t>
  </si>
  <si>
    <t>For each client, extract  from transcript or FPQ or Recommendation Report enum for explicit intent regarding contributions and plan review and map on [New Contribution, Review Existing, Both] and include pproper details</t>
  </si>
  <si>
    <t>4. Existing Product Details</t>
  </si>
  <si>
    <t>Product Type - Existing Product</t>
  </si>
  <si>
    <t>The broad category or classification of the client’s current financial product, such as pension, ISA, mortgage, protection.</t>
  </si>
  <si>
    <t>Recommendation Report, Financial Planning Questionnaire, Ceding Scheme Info</t>
  </si>
  <si>
    <t>For each client existing product:
-Extract the broad category or classification of the client’s current financial product (e.g., “pension”, “ISA”, “mortgage”, “protection”, “investment bond”, “general investment account”)
-Map the extracted description to a standardised product‑type list used in your model (e.g., Pension, ISA, Mortgage, Protection, Investment Account, Bond, Platform, etc.)
-Ignore detailed brand or fund names here (those belong in “Fund Name – Existing Product”); capture only the overarching type/wrapper.
-If more than one existing product is discussed, create a separate Product Type entry for each product.</t>
  </si>
  <si>
    <t>Fund Name - Existing Product</t>
  </si>
  <si>
    <t>Product Name of Existing product indicates the exact name or title of the client’s existing financial product or portfolio. This must be the specific branded product name (e.g., Saltus Passive 7, Royal London Governed Portfolio Enhanced) and not a generic category such as Pension, ISA, Bond, Mortgage, or Portfolio. If only a generic type is mentioned without a product name, record the value as Not Available.</t>
  </si>
  <si>
    <t>Recommendation Report, Ceding Scheme Info</t>
  </si>
  <si>
    <t>For each client and each of their product extract the specific fund or product name if stated (e.g. “Saltus Passive 7”). If only generic (e.g. just “ISA”), set as "NA"</t>
  </si>
  <si>
    <t>Provider Name - Existing Product</t>
  </si>
  <si>
    <t xml:space="preserve">The name of the company or institution stated in the report as providing or administering the client’s current product. This may be the plan provider or platform of client's existing product. </t>
  </si>
  <si>
    <t>For each client and each of their product extract provider/platform/company name if disclosed</t>
  </si>
  <si>
    <t>3. Tax</t>
  </si>
  <si>
    <t>Taxation on Withdrawal (Chargeable Gains, CGT, IHT Liability)</t>
  </si>
  <si>
    <t xml:space="preserve">If the advise is given on some calculation wrt chargeable gains or encashment, then ensure that the calculations is correct. Release calculations are validated to ensure that if there is some tax laibility it is calculated correctly. </t>
  </si>
  <si>
    <t>For each client:
-For each withdrawal, encashment, or release discussed, identify whether the adviser provides or references a calculation involving chargeable gains, Capital Gains Tax (CGT), or Inheritance Tax (IHT) liability
-Extract a concise summary of the tax-related calculation and its conclusion (e.g., “CGT of £2,300 is due on this encashment”, “no CGT because within allowance”)
-Verify that any stated tax liability or gain is internally consistent with the figures given in the transcript (e.g., allowances, rates, and gain amounts align)
-Flag any explicit adviser statement that calculations have been checked or validated (e.g., “we’ve verified the CGT on this release”)</t>
  </si>
  <si>
    <t>Taxation Overview</t>
  </si>
  <si>
    <t>Client’s income tax status, CGT, IHT considerations and overall tax strategy discussion</t>
  </si>
  <si>
    <t>Conversation transcript</t>
  </si>
  <si>
    <t>TBC</t>
  </si>
  <si>
    <t>For each client, extract overall tax position, summary statements about income tax rate, CGT, IHT, and tax strategy from transcript</t>
  </si>
  <si>
    <t>Tax-Planning Strategies</t>
  </si>
  <si>
    <t>Strategies used or considered for tax efficiency</t>
  </si>
  <si>
    <t>For each client, extract  from transcript or FPQ or Recommendation Report statements describing specific or general strategies considered for reducing tax efficiency, e.g. "using ISA", "pension contributions", "removing unnecessary gains"</t>
  </si>
  <si>
    <t>Client Tax Preferences</t>
  </si>
  <si>
    <t>Client’s attitude towards tax planning</t>
  </si>
  <si>
    <t>For each client, extract  from transcript or FPQ or Recommendation Report client preferences or attitudes toward tax planning ("want to keep it simple", "open to more aggressive tax reduction", etc.)</t>
  </si>
  <si>
    <t>6. Estate Planning</t>
  </si>
  <si>
    <t>Estate Arrangements</t>
  </si>
  <si>
    <t>Client's overview of estate planning in place, including wills, powers of attorney (POA), trusts, major gifts or legacy goals</t>
  </si>
  <si>
    <t>For each client, extract  from transcript or FPQ or Recommendation Report all explicit mentions of wills, power of attorney, trusts, gifts, intended legacies, or other estate planning measures. Combine into a single summary statement per client</t>
  </si>
  <si>
    <t>Adviser Notes</t>
  </si>
  <si>
    <t>Any recommendations or referrals client has received from legal and estate planning professionals</t>
  </si>
  <si>
    <t>For each client, extract  from transcript or FPQ or Recommendation Report all stated professional recommendations, referrals (e.g., to solicitors), or key adviser notes related to estate planning actions</t>
  </si>
  <si>
    <t>5. Cashflow Modelling</t>
  </si>
  <si>
    <t>Cashflow Scenarios &amp; Assumptions</t>
  </si>
  <si>
    <t>Summary of key assumptions, scenarios modelled and approach</t>
  </si>
  <si>
    <t>For each client, extract from transcript or FPQ or Recommendation Report and summarize all assumptions made (e.g., rates of return, inflation, income changes), major “what-if” scenarios discussed, and the modelling approach (tools/periods/logic). List each scenario or assumption with proper details from transcript or FPQ or Recommendation Report</t>
  </si>
  <si>
    <t>Outcomes and Client Decisions</t>
  </si>
  <si>
    <t>Main results, client reactions and decisions made following the modelling</t>
  </si>
  <si>
    <t>For each client, extract the key outputs (e.g., projected balances, sustainability risk), direct client reactions (“pleased”, “concerned”), and any decisions or action plans made after reviewing the modelling (“decided to retire at 62”, “will increase contributions”) with proper details from transcript or FPQ or Recommendation Report. List each outcome or decision, referencing client/professional feedback if available</t>
  </si>
  <si>
    <t>7. Client Risk Assessment</t>
  </si>
  <si>
    <t>Time Horizon - Growth</t>
  </si>
  <si>
    <t>Refers to the expected time period during which the client plans to leave their investment untouched to focus on capital accumulation (growth), without needing to withdraw income. This reflects how long they can remain invested before withdrawing from investment.</t>
  </si>
  <si>
    <t>Recommendation Report, Risk Assessment Questionnaire</t>
  </si>
  <si>
    <t>Only complete if Time horizon if Investment Objective = "Growth" or "Growth &amp; Income". For each client, extract the period stated for capital growth (e.g. “10 years”, “until retirement”, “long-term”) with proper details. Use explicit duration if stated</t>
  </si>
  <si>
    <t>Time Horizon - Income</t>
  </si>
  <si>
    <t>Refers to the duration over which the client expects to draw a regular income from their investment. This reflects how long the investment is expected to support regular withdrawals.</t>
  </si>
  <si>
    <t>Only complete if Time horizon if Investment Objective = "Income" or "Growth &amp; Income". For each client, extract stated or implied period of intended income withdrawals (“until 80”, “lifetime income”, “short-term 5 years”) with proper details. Use explicit duration if stated</t>
  </si>
  <si>
    <t>Access Investment-Growth</t>
  </si>
  <si>
    <t>Refers to how does the client expects to access funds from an investment intended for capital growth.</t>
  </si>
  <si>
    <t>For each client, extract from transcript or RAQ or Recommendation Report any rules or expectations about accessing (liquidity, notice, penalties for early withdrawal) for growth-oriented funds with proper details</t>
  </si>
  <si>
    <t>Access Investment-Income</t>
  </si>
  <si>
    <t>Refers to how does the client expects to access funds from an investment intended to provide regular income.</t>
  </si>
  <si>
    <t>For each client, extract from transcript or RAQ or Recommendation Report any rules or expectations about accessing (liquidity, notice, penalties for early withdrawal) for income-focused assets/products with proper details</t>
  </si>
  <si>
    <t>Risk Score</t>
  </si>
  <si>
    <t>A numeric value derived from the client’s responses in the risk assessment, reflecting their overall attitude to investment risk. It can be between 1-50. This is different that Client Risk category.</t>
  </si>
  <si>
    <t>For each client, extract the numeric risk score (1–50) with proper details from transcript or RAQ or Recommendation Report</t>
  </si>
  <si>
    <t>Client Risk Category</t>
  </si>
  <si>
    <t>It is the client’s assessed risk profile based on their responses to the questions answered in the risk questionnaire. It must be between 1-10.</t>
  </si>
  <si>
    <t>For each client, extract risk category (1–10) with proper details as directly scored or assigned in the RAQ</t>
  </si>
  <si>
    <t>Agreed Client Risk Category</t>
  </si>
  <si>
    <t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t>
  </si>
  <si>
    <t>For each client, extract agreed risk category (1–10) after conversation; if it differs from initial, extract rationale. If rationale missing when required, set as "No detail available"</t>
  </si>
  <si>
    <t>Capacity For Loss</t>
  </si>
  <si>
    <t>The client’s financial ability to absorb a fall in the value of their investments without it having a material impact on their standard of living or financial objectives. This may be stated as a specific value, rating, or category (such as  “High,” “Low,” “Sufficient”) or described narratively (such as referencing investment timeframe, stability of finances, or tolerance for fluctuations). If no assessment is provided in any form, set to “Not Available.”</t>
  </si>
  <si>
    <t>For each client, extract from transcript or RAQ or Recommendation Report explicit rating/category (e.g., “High”, “Low”, “Sufficient”), or detailed narrative (such as referencing investment timeframe, stability of finances, or tolerance for fluctuations) with proper details</t>
  </si>
  <si>
    <t>Knowledge &amp; Experience</t>
  </si>
  <si>
    <t>It captures the client’s level of understanding and past experience with different types of investments</t>
  </si>
  <si>
    <t>For each client, extract transcript or RAQ or Recommendation Repor stated level (Novice/Intermediate/Advanced) or paraphrase description of investment knowledge/experience with proper details</t>
  </si>
  <si>
    <t>Ethical Preference &amp; Other Considerations</t>
  </si>
  <si>
    <t>It captures environment, social, governance, ethical, religious preferences or consideration before making an investment</t>
  </si>
  <si>
    <t xml:space="preserve">For each client, extract from transcript or RAQ or Recommendation Report statements or preferences about sustainable investing, exclusions, or faith-based values with proper details	</t>
  </si>
  <si>
    <t>ATR response consistency</t>
  </si>
  <si>
    <t>If any response or data point is inconsistent with another in content, logic, or implied behaviour, flag it as Inconsistent and provide a brief explanation along with pointing out the questions describing the logical or response-level contradiction.</t>
  </si>
  <si>
    <t xml:space="preserve">If any answers are logically inconsistent (ambivalence, contradiction), for each client extract from transcript or RAQ or Recommendation Report a summary (e.g., “client wants high returns but objects to volatility”) with proper details. If all consistent or not checked, omit field	</t>
  </si>
  <si>
    <t>Client Risk Category - Notes</t>
  </si>
  <si>
    <t>For each client, extract narrative justification or explanation if risk category was changed after discussion</t>
  </si>
  <si>
    <t>Risk Capacity</t>
  </si>
  <si>
    <t>Client's financial ability absorb losses, based on financial strength and constraints; subjective asessment of risk</t>
  </si>
  <si>
    <t>For each client, extract from transcript or RAQ or Recommendation Report summary of client’s risk capacity as described by adviser, or client self-assessment if explicitly stated with proper details</t>
  </si>
  <si>
    <t>Existing Products Details</t>
  </si>
  <si>
    <t>For each client extract from transcript or FPQ or Recommendation Report short narrative statements about current products with proper details (e.g., pensions, ISAs, bonds, policies)
-Exclude pure numbers already stored in additioNo detail availablel Data Fields from the sub-section.
-Keep wording concise; split into separate bullets when they describe different aspects.</t>
  </si>
  <si>
    <t>Cashflow Modelling Details</t>
  </si>
  <si>
    <t>For each client extract from transcript or FPQ or Recommendation Report short No detail availablerrative statements about cashflow projections and sceNo detail availablerios with proper details
-Keep wording concise; split into separate bullets when they describe different aspects.</t>
  </si>
  <si>
    <t>Attitude to Risk</t>
  </si>
  <si>
    <t>For each client extract from transcript or RAQ or Recommendation Report short No detail availablerrative statements about risk with proper details; include No detail availablerrative justification or explaNo detail availabletion if risk category was changed after discussion. Consider "Client Risk Category - Notes" data field
-Keep wording concise; split into separate bullets when they describe different aspects.</t>
  </si>
  <si>
    <t>Personal Details</t>
  </si>
  <si>
    <t>For each client extract from transcript or FPQ or Recommendation Report short narrative statements that add context to Client Demographics section (e.g., “recently divorced”, “works part‑time and travels frequently”, “expecting first child next year”).
-Keep wording concise; split into separate bullets when they describe different aspects.
Add information about the client, family with proper details</t>
  </si>
  <si>
    <t>Income &amp; Expenses Details</t>
  </si>
  <si>
    <t>For each client extract from transcript or FPQ or Recommendation Report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-Keep wording concise; split into separate bullets when they describe different aspects.</t>
  </si>
  <si>
    <t>Assets &amp; Liabilities Details</t>
  </si>
  <si>
    <t>For each client extract from transcript or FPQ or Recommendation Report short No detail availablerrative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-Keep wording concise; split into separate bullets when they describe different aspects.</t>
  </si>
  <si>
    <t>Goal Name</t>
  </si>
  <si>
    <t>For each client goal identified in "Goals &amp; Purpose" data field (Goal 1, Goal 2,...) from transcript or FPQ or Recommendation Report create a corresponding Goal [N] object with proper details
Derive a short Goal Name for Goal [N] as follows, in order of precedence: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
-If the text is a negative/inverse framing (e.g., “do not want my money locked up long term”), map to a concise label reflecting the core idea (e.g., “Access / Liquidity”, “No Long Lock‑In”).
-If no category can be confidently mapped, take a concise phrase from the origina goal sentence (first clause up to ~5–7 words) that best describes the end‑use.</t>
  </si>
  <si>
    <t>Goal Description</t>
  </si>
  <si>
    <t>For each client goal already identified from “Goals &amp; Purpose” data field/ “Investment Amount for Goal” data field / “Time Horizon for Goal” data field, extract from transcript or FPQ or Recommendation Report the full sentence (or longest, most specific clause) that describes what the client wants to achieve with that goal with proper details
- Retain full phrasing as provided (e.g., “to build a retirement fund that covers living expenses after age 65”)
- Exclude vague or non‑specific text (e.g., “just saving for later”) and keep original wording</t>
  </si>
  <si>
    <t>Priority Level</t>
  </si>
  <si>
    <t>For each client Goal [N] extract from transcript or FPQ or Recommendation Report the client’s stated ranking of the goal’s importance or goal-related text for priority wording or numeric ranking with proper details
- Only allow values from the enumeration set: [High, Medium, Low].
- Normalize synonyms or numeric rankings into one of the three allowed values (“Top priority,” “Critical,” “1”: High; “Secondary,” “Moderate,” “2”: Medium; “Least important,” “Low priority,” “3”: Low)
- Exclude vague or non‑specific statements (e.g., “all goals are important” without ranking).</t>
  </si>
  <si>
    <t>Goal Owner</t>
  </si>
  <si>
    <t>For each client Goal [N] extract from transcript or FPQ or Recommendation Report the specific individual(s) named as responsible for, or assigned to, the goal within the financial plan with proper details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</si>
  <si>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Start Date</t>
  </si>
  <si>
    <t>For each client Goal [N] extract from transcript or FPQ or Recommendation Report the date or explicit timeframe when the client intends to begin saving or investing for this goal with proper details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</si>
  <si>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Goal Target Horizon</t>
  </si>
  <si>
    <t>For each client Goal [N] extract from transcript or FPQ or Recommendation Report the point in time when the client needs the goal to be achieved  with proper details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</si>
  <si>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Flexibility of timing</t>
  </si>
  <si>
    <t>For each client Goal [N] extract from transcript or FPQ or Recommendation Report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</si>
  <si>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Target Corpus</t>
  </si>
  <si>
    <t>For each client Goal [N] extract from transcript or FPQ or Recommendation Report the total fiNo detail availablel monetary amount the client aims to accumulate for that goal with proper details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</si>
  <si>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Current Investments towards the Goals</t>
  </si>
  <si>
    <t>For each client Goal [N] extract extract from transcript or FPQ or Recommendation Report the value of any existing savings or investments that the client states are already allocated to that specific goal with proper details (e.g., “I already have £5,000 put aside for this”); consider "Investment Amount for Goal" data field, "Investment Portfolio/Product for the Goal" data field, "Do you wish to make new contributions or review existing plans?" data field
-Select only statements that clearly refer to money already saved/invested for this goal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</si>
  <si>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Investment Contribution Mode</t>
  </si>
  <si>
    <t>For each client Goal [N] extract from transcript or FPQ or Recommendation Report  the client’s stated preferred method of funding this specific goal (e.g., “monthly payments”, “regular contributions”) with proper details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</si>
  <si>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Available monthly surplus</t>
  </si>
  <si>
    <t>For each client Goal [N] where "Investment Contribution Mode" = Periodic extract from transcript or FPQ or Recommendation Report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origiNo detail availablel phrasing for audit
-Exclude general surplus figures that are not clearly earmarked for this goal, and exclude vague statements without a clear amount (e.g., “a bit extra each month”)</t>
  </si>
  <si>
    <t>Available Lumpsum Amount</t>
  </si>
  <si>
    <t>For each client extract from transcript or FPQ or Recommendation Report any one‑time, non‑recurring amount the client states they have available to invest immediately for this goal (e.g., “I can put £10,000 in now”) considering "Investment Amount for Goal" data field, "Investment Portfolio/Product for the Goal" data field, "Do you wish to make new contributions or review existing plans?" data field
Candidate phrases typically look like “I can put £10,000 in now”, “we have £20k free to invest as a lump sum”, “there’s £5,000 spare in cash we can invest immediately”.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</si>
  <si>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Total # of Goals</t>
  </si>
  <si>
    <t>For each client extract all distinct fiNo detail availablencial goals from transcript or FPQ or Recommendation Report (e.g., “university fund”, “retirement income”, “new house deposit”) with proper details, consider "Goals &amp; Purpose" data field, "Goal No detail availableme" data field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</si>
  <si>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Goals &amp; Objectives Details</t>
  </si>
  <si>
    <t>For each client extract from transcript or FPQ or Recommendation Report short No detail availablerrative statements around Goals &amp; Objectives, why goals matter, how the client feels about them (e.g., “Most important goal is helping daughter onto property ladder”, “Client is very anxious about retirement adequacy", “Open to delaying holiday home if markets perform poorly”). Consider "Notes" data field from FPQ
- Any No detail availablerrative commentary recorded that provides context or explaNo detail availabletion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
-Keep wording concise; split into separate bullets when they describe different aspects.</t>
  </si>
  <si>
    <t>Section Name</t>
  </si>
  <si>
    <t>Sub-Section</t>
  </si>
  <si>
    <t>Data Field</t>
  </si>
  <si>
    <t>Source</t>
  </si>
  <si>
    <t>Business Rule (Application) OLD</t>
  </si>
  <si>
    <t>Business Rule (Application)2</t>
  </si>
  <si>
    <t>OLD EXTRACTION</t>
  </si>
  <si>
    <t>Description - EXTRACTION</t>
  </si>
  <si>
    <t>Business Rule Type</t>
  </si>
  <si>
    <t>Data Model</t>
  </si>
  <si>
    <t>Field Client Name</t>
  </si>
  <si>
    <t>Title Page</t>
  </si>
  <si>
    <t>Meeting Objective</t>
  </si>
  <si>
    <t>Transcript</t>
  </si>
  <si>
    <t>Display the type or purpose of the meeting and map to one of the options: "Initial Consultation" (e.g., initial call, first meeting, onboarding meeting); "Annual Review" (e.g., yearly review, annual check-in); Mid-Term Review (e.g., six-month review, interim review); "Other" (if nothing fits or is unclear)
Display as [Initial Consultation/Annual Review/Mid-Term Review] [Month-YYYY]</t>
  </si>
  <si>
    <t>WM Advice -&gt; Title Page</t>
  </si>
  <si>
    <t>Transcript, FPQ</t>
  </si>
  <si>
    <t xml:space="preserve">Display Client Name(s) data field separated by "&amp;" if there are 2 or more clients </t>
  </si>
  <si>
    <t>Full name of the client including forename, middle name and surname</t>
  </si>
  <si>
    <t>Adviser Name</t>
  </si>
  <si>
    <t>Display full name of the Adviser, including forename, midddle name and surname</t>
  </si>
  <si>
    <t>FCA Reference Number</t>
  </si>
  <si>
    <t>Static</t>
  </si>
  <si>
    <t>Display "Financial Conduct Authority reference number 230342"</t>
  </si>
  <si>
    <t>Office Address</t>
  </si>
  <si>
    <t>Display "2nd Floor Office Suite, Kemble House, 36–39 Broad Street, Hereford HR4 9AR"</t>
  </si>
  <si>
    <t>Office Contact Details</t>
  </si>
  <si>
    <t>Display "01432 343322 
discover@abacusadvisers.co.uk"</t>
  </si>
  <si>
    <t>Meeting Date</t>
  </si>
  <si>
    <t>Display Meeting Date in dd-Month-YYYY format</t>
  </si>
  <si>
    <t>Document Generation Date</t>
  </si>
  <si>
    <t>System</t>
  </si>
  <si>
    <t>Display Document Generation Date which is current date in dd-Month-YYYY format</t>
  </si>
  <si>
    <t>Executive Summary</t>
  </si>
  <si>
    <t>Display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intenal process notes (e.g., back‑office tasks, system errors) that are not relevant to the client‑facing narrative
Display as opening paragraph from adviser's perspective. Format: "[Client Name(s)] discussed [main topics]. [Key concern(s)]. [Primary objective(s) and key decision(s) or next step(s)]."</t>
  </si>
  <si>
    <t>WM Advice -&gt; Executive Summary</t>
  </si>
  <si>
    <t>Summary of Discussion</t>
  </si>
  <si>
    <t>Display key points from Client Demographics, Assets &amp; Liabilities, Income &amp; Expenses, Goals &amp; Objectives, Taxation, Existing Products, Cashflow Modelling, Estate Planning and Client Risk Assessment with proper details
-Group them into themes based on what appears, not a hard-coded list. Themes include Personal Details, Assets &amp; Liabilities, Income &amp; Expenses, Goals &amp; Objectives, Taxation, Existing Products, Cashflow Modelling, Estate Planning, Client Risk Assessment and any other data point that does not fit directly into any of the categories such as family details, other businesses, retirement planning
-Only create a theme heading id when there is at least one note for it in this meeting
-Under each active theme, list 2-5 bullets 
-Do not include filler words, do not write in first person, write full sentences 
If a topic was not discussed, simply do not show the heading</t>
  </si>
  <si>
    <t>WM Advice -&gt; Summary of Discussion</t>
  </si>
  <si>
    <t>Actions &amp; Recommendations</t>
  </si>
  <si>
    <t>Display Adviser notes, Actions &amp; Recommendations outcomes and any flags across sections
Display actions divided by time horizon if possible as Immediate, Medium-Term, or Long-Term
Do not include filler words, do not write in first person, write full sentences 
If all actions are Short-Term, only show Immediate
Under each time horizon show bullet points of specific, action items, each starting with where available, owner and timing
If available display as: "Immediate:
-[extracted value]
Medium Term:
-[extracted value]
Long Term:
-[extracted value]"
If timing is unclear display in bullet-style</t>
  </si>
  <si>
    <t>WM Advice -&gt; Actions &amp; Recommendations</t>
  </si>
  <si>
    <t>Next Steps</t>
  </si>
  <si>
    <t>For each client:
-Display explicit forward actions (e.g., Adviser tasks, client tasks, planned meetings or checkpoints)
-Exclude generic statements with no concrete action (“keep under review”) unless paired with a clear timeframe or trigger.
-Keep wording concise; each distinct action as a separate bullet, ideally including owner and timing where stated.
-Do not include filler words, do not write in first person, write full sentences 
If found display "[Action 1], [Action 2],…" in bullet-style items ; if no clear steps display as "Next Steps: No detail available"</t>
  </si>
  <si>
    <t>WM Advice -&gt; Next Steps</t>
  </si>
  <si>
    <t>All the fields from FPQ are related to Client 1 and Client 2 so must be extracted accordingly. For each client, extract from transcript or FPQ or Recommendation Report; if missing, generate per org rules. Repeat for each client found
If found display "[extracted value]"; If not found display 'No detail available'</t>
  </si>
  <si>
    <t>Display Client ID data field</t>
  </si>
  <si>
    <t>WM Advice -&gt; Client -&gt; Client Demographics</t>
  </si>
  <si>
    <t>Display Client Name data field</t>
  </si>
  <si>
    <t>If found display Date of Birth data field in dd-Month-YYYY format; if Meeting Objective data field is 'Initial Consultation' display 'No detail available'; in other cases display 'No detail has changed'</t>
  </si>
  <si>
    <t>Display Date of Birth data field in dd-Month-YYYY format; if not found display 'No detail available'</t>
  </si>
  <si>
    <t>If found display Age; if Meeting Objective data field is 'Initial Consultation' display 'No detail available'; in other cases display 'No detail has changed'</t>
  </si>
  <si>
    <t>Display Age data field; if not found display 'No detail available'</t>
  </si>
  <si>
    <t>Age of the client in full years</t>
  </si>
  <si>
    <t>If found display Country of Residence; if Meeting Objective data field is 'Initial Consultation' display 'No detail available'; in other cases display 'No detail has changed'</t>
  </si>
  <si>
    <t>Display Country of Residence data field; if not found display 'No detail available'</t>
  </si>
  <si>
    <t>UK Resident for Tax</t>
  </si>
  <si>
    <t>If found display from transcript or FPQ or Recommendation Report "[Yes/No]"; if Meeting Objective data field is 'Initial Consultation' display 'No detail available'; in other cases display 'No detail has changed'</t>
  </si>
  <si>
    <t>Display UK Resident for Tax data field as Yes or No; if not found display 'No detail has changed'</t>
  </si>
  <si>
    <t>Indicate if the client is a UK Resident For Tax. Possible values: Yes or No</t>
  </si>
  <si>
    <t>If found display from transcript or FPQ or Recommendation Report "[Yes/No]"; If not found omit field</t>
  </si>
  <si>
    <t>Display UK Domicile data field as Yes or No; if not found display 'No detail has changed'</t>
  </si>
  <si>
    <t>Indicates if the client has UK Domicile. Possible values: Yes or No</t>
  </si>
  <si>
    <t>If found display from transcript or Smart Search or FPQ or Recommendation Report; if Meeting Objective data field is 'Initial Consultation' display 'No detail available'; in other cases display 'No detail has changed'</t>
  </si>
  <si>
    <t>Display Address data field; if not found display 'No detail has changed'</t>
  </si>
  <si>
    <t>Address of the client</t>
  </si>
  <si>
    <t>Accomodation Type</t>
  </si>
  <si>
    <t>If found display from transcript or FPQ or Recommendation Report  "[Owned/Rent]"; if Meeting Objective data field is 'Initial Consultation' display 'No detail available'; in other cases display 'No detail has changed'</t>
  </si>
  <si>
    <t>Display Accomodation Type data field as Owned or Rent; if not found display 'No detail has changed'</t>
  </si>
  <si>
    <t>Indicates if the property where the client lives with possible values Owned or Rent</t>
  </si>
  <si>
    <t>If found display from transcript or FPQ or Recommendation Report "[Single/Married/Divorced/Widow]"; if Meeting Objective data field is 'Initial Consultation' display 'No detail available'; in other cases display 'No detail has changed'</t>
  </si>
  <si>
    <t>Display Marital Status data field as Single, Married, Divorced or Widow; if not found display 'No detail has changed'</t>
  </si>
  <si>
    <t>The marital status of the client, such as Single, Married, Divorced or Widow</t>
  </si>
  <si>
    <t>If found display from transcript or FPQ display Family Members data field; if Meeting Objective data field is 'Initial Consultation' display 'No detail available'; in other cases display 'No detail has changed'</t>
  </si>
  <si>
    <t>Display number of Family Members data field; if not found display 'No detail has changed'</t>
  </si>
  <si>
    <t>If found display from transcript or FPQ or Recommendation ReportNo of Dependents data field; if Meeting Objective data field is 'Initial Consultation' display 'No detail available'; in other cases display 'No detail has changed'</t>
  </si>
  <si>
    <t>Display No of Dependents data field; if not found display 'No detail has changed'</t>
  </si>
  <si>
    <t>If found display from transcript or FPQ or Recommendation Report "[Employed/Self-employed/Unemployed/Retired/Other]"; if Meeting Objective data field is 'Initial Consultation' display 'No detail available'; in other cases display 'No detail has changed'</t>
  </si>
  <si>
    <t>Display Employment Status data field as Employed, Self-employed, Unemployed, Retired, or Other; if not found display 'No detail has changed'</t>
  </si>
  <si>
    <t>Employment Status of the client such as Employed, Self-employed, Unemployed, Retired or Other</t>
  </si>
  <si>
    <t xml:space="preserve">Occupation Details </t>
  </si>
  <si>
    <t>If found display from transcript or FPQ or Recommendation Report Occupation; if a client Employment Status = Retired omit field</t>
  </si>
  <si>
    <t>Display Occupation Details data field; if a client Employment Status = Retired omit field or add any detail if mentioned</t>
  </si>
  <si>
    <t>The occupation or job title of the client along with detailes of the employment. Include information such as kind of work being done. Also inforrmation such as  “works part‑time and travels frequently”</t>
  </si>
  <si>
    <t>Display Director data field as Yes or No value; if not found display 'No detail has changed'</t>
  </si>
  <si>
    <t>Check if the Employment status is  Self-employed and/or Occupation = Director. Possible values: Yes or No</t>
  </si>
  <si>
    <t>If a client Employment Status = Retired, then this will not be be captured
For each client where Employment Status is not Retired, display from transcript or FPQ or Recommendation Report Intended Retirement Age; if not found omit field</t>
  </si>
  <si>
    <t>Display Intended Retirement Age data field when Employment Status is not Retired; if Employment Status = Retired omit field</t>
  </si>
  <si>
    <t>The Intended Retirement Age of client present in mutiple sections of FPQ (at what age do you anticipate retiring'? From Need Analysis Question) or mentioned during transcript if a client Employment Status is not Retired</t>
  </si>
  <si>
    <t>Income Required in Retirement</t>
  </si>
  <si>
    <t>For each client, if found display from transcript or FPQ or Recommendation Report "[Amount, Code]" with proper detail ; If not found omit field</t>
  </si>
  <si>
    <t>Display Income Required in Retirement data field if Employment Status is not Retired; if Employment Status = Retired omit field</t>
  </si>
  <si>
    <t>Captures the expected Income required by client in Retirement as a numeric value (Amount) and the currency as a three‑letter code (Code), e.g., GBP, USD, EU</t>
  </si>
  <si>
    <t>Display Have you made a Will data field as Yes or No value; if not found display 'No detail has changed'</t>
  </si>
  <si>
    <t>Indicates whether the client has created a legal will. It is a document that specifies how their assets should be distributed after their death.  Possible values: Yes or No</t>
  </si>
  <si>
    <t>Display Are your Wills up to date data field as Yes or No value; if not found display 'No detail has changed'</t>
  </si>
  <si>
    <t>Indicates whether the client's will is current and reflects their latest wishes. Possible values: Yes or No</t>
  </si>
  <si>
    <t>If found display from transcript or FPQ or Recommendation Report State of Health data field; If not found omit field</t>
  </si>
  <si>
    <t>Display State of Health data field with proper details; if not found display 'No detail has changed'</t>
  </si>
  <si>
    <t>Describes the client's overall physical and mental health condition. Describe any recent health issues identified.</t>
  </si>
  <si>
    <t>If found display from transcript or FPQ or Recommendation Report "[Yes/No]"</t>
  </si>
  <si>
    <t>Display Is Vulnerable Client data field as Yes or No value; if not found display 'No detail has changed'</t>
  </si>
  <si>
    <t>Vulnerable Details</t>
  </si>
  <si>
    <t>Display Vulnerable Details data field with proper details; if not found display 'No detail has changed'</t>
  </si>
  <si>
    <t xml:space="preserve">Identify if the client is experiencing one or more of the following situations:
Bereavement (loss of a loved one)
Divorce or separation
Job loss or redundancy
Serious or critical illness (e.g., cancer)
Mental health challenges
</t>
  </si>
  <si>
    <t>Family Details</t>
  </si>
  <si>
    <t>Display Family Details data field with proper details; if not found display 'No detail has changed'</t>
  </si>
  <si>
    <t>Family details of the client including information about spouse children and grandchildren with proper details (e.g., “recently divorced”, “works part‑time and travels frequently”, “expecting first child next year”)</t>
  </si>
  <si>
    <t>Income &amp; Expenses</t>
  </si>
  <si>
    <t>If found display Total Net Monthly Income data field from transcript or FPQ or Recommendation Report "[Amount, Code]" with proper detail ; If not found display "No detail available"</t>
  </si>
  <si>
    <t>Display Total Net Monthly Income data field with proper details; if not found display 'No detail has changed'</t>
  </si>
  <si>
    <t>The client's Total Net Monthly Income as a numeric value (Amount) and the currency as a three‑letter code (Code), e.g., GBP, USD, EU</t>
  </si>
  <si>
    <t>WM Advice -&gt; Client -&gt; Client Financial Profile -&gt; Income &amp; Expenses</t>
  </si>
  <si>
    <t>If found display Total Monthly Expenditure data field from transcript or FPQ or Recommendation Report "[Amount, Code]" with proper detail ; If not found display "No detail available"</t>
  </si>
  <si>
    <t>Display Total Monthly Expenditure data field with proper details; if not found display 'No detail has changed'</t>
  </si>
  <si>
    <t>The client's Total Monthly Expenditure as a numeric value (Amount) and the currency as a three‑letter code (Code), e.g., GBP, USD, EU</t>
  </si>
  <si>
    <t>If found display Mortgages &amp; Rent data field from transcript or FPQ or Recommendation Report "[Amount, Code] " with proper detail ; If not found omit field</t>
  </si>
  <si>
    <t>Display Mortgages &amp; Rent data field with proper details; if not found display 'No detail has changed'</t>
  </si>
  <si>
    <t>The client's monthly Mortgages &amp; Rent payments as a numeric value (Amount) and the currency as a three‑letter code (Code), e.g., GBP, USD, EU</t>
  </si>
  <si>
    <t>If found display Loans &amp; Credit data field from transcript or FPQ or Recommendation Report "[Amount, Code]" with proper detail ; If not found omit field</t>
  </si>
  <si>
    <t>Display Loans &amp; Credit data field with proper details; if not found display 'No detail has changed'</t>
  </si>
  <si>
    <t>The client's monthly Loans &amp; Credit payments as a numeric value (Amount) and the currency as a three‑letter code (Code), e.g., GBP, USD, EU</t>
  </si>
  <si>
    <t>If found display Pensions, Savings &amp; Insurance data field from transcript or FPQ or Recommendation Report "[Amount, Code]" with proper detail ; If not found omit field</t>
  </si>
  <si>
    <t>Display Pensions, Savings &amp; Insurance data field with proper details; if not found display 'No detail has changed'</t>
  </si>
  <si>
    <t>The client's monthly contributions for Pensions, Savings &amp; Insurance as a numeric value (Amount) and the currency as a three‑letter code (Code), e.g., GBP, USD, EU</t>
  </si>
  <si>
    <t>If found display Household &amp; Utilities data field from transcript or FPQ or Recommendation Report "[Amount, Code] " with proper detail ; If not found omit field</t>
  </si>
  <si>
    <t>Display Household &amp; Utilities data field with proper details; if not found display 'No detail has changed'</t>
  </si>
  <si>
    <t>The client's monthly contributions for Household &amp; Utilities as a numeric value (Amount) and the currency as a three‑letter code (Code), e.g., GBP, USD, EU</t>
  </si>
  <si>
    <t>If found display Travel &amp; Transport from transcript or FPQ or Recommendation Report "[Amount, Code]" with proper detail ; If not found omit field</t>
  </si>
  <si>
    <t>Display Travel &amp; Transport data field with proper details; if not found display 'No detail has changed'</t>
  </si>
  <si>
    <t>The client's monthly contributions for Travel &amp; Transport as a numeric value (Amount) and the currency as a three‑letter code (Code), e.g., GBP, USD, EU</t>
  </si>
  <si>
    <t>If found display Discretionary &amp; Leisure from transcript or FPQ or Recommendation Report "[Amount, Code]" with proper detail ; If not found omit field</t>
  </si>
  <si>
    <t>Display Discretionary &amp; Leisure data field with proper details; if not found display 'No detail has changed'</t>
  </si>
  <si>
    <t>The client's monthly contributions for Discretionary &amp; Leisure as a numeric value (Amount) and the currency as a three‑letter code (Code), e.g., GBP, USD, EU</t>
  </si>
  <si>
    <t>If found display Child Care data field from transcript or FPQ or Recommendation Report "[Amount, Code]" with proper detail ; If not found omit field</t>
  </si>
  <si>
    <t>Display Child Care data field with proper details; if not found display 'No detail has changed'</t>
  </si>
  <si>
    <t>The client's monthly contributions for Child Care as a numeric value (Amount) and the currency as a three‑letter code (Code), e.g., GBP, USD, EU</t>
  </si>
  <si>
    <t>All Household Expenditure</t>
  </si>
  <si>
    <t>For each client, extract, or sum, total for all household expenses if provided as aggregate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</si>
  <si>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All Household Expenditure data field with proper details; if not found display 'No detail has changed'</t>
  </si>
  <si>
    <t>The client's monthly All household expenditure as a numeric value (Amount) and the currency as a three‑letter code (Code), e.g., GBP, USD, EU</t>
  </si>
  <si>
    <t>If found display Monthly Surplus Income data field from transcript or FPQ or Recommendation Report "[Amount, Code]" with proper detail ; If not found omit field</t>
  </si>
  <si>
    <t>Display Monthly Surplus Income data field with proper details; if not found display 'No detail has changed'</t>
  </si>
  <si>
    <t>The client's Monthly Surplus as a numeric value (Amount) and the currency as a three‑letter code (Code), e.g., GBP, USD, EU. It is generally computed by subtracting Total Monthly Expenditure from Total Net Monthly Income</t>
  </si>
  <si>
    <t>For each client display Income &amp; Expenses Details data field; if not found omit field</t>
  </si>
  <si>
    <t>Display Income &amp; Expenses Details data field; if not found display 'No detail has changed'</t>
  </si>
  <si>
    <t>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with proper detail</t>
  </si>
  <si>
    <t>Assets &amp; Liabilities</t>
  </si>
  <si>
    <t>For each client, extract stated asset total or sum all stated individual asset fields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</si>
  <si>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Assets data field with proper details; if not found display 'No detail has changed'</t>
  </si>
  <si>
    <t>The total value of all assets owned by the client, including cash, investments, real estate, vehicles, and other possessions of value as a numeric value (Amount) and the currency as a three‑letter code (Code), e.g., GBP, USD, EU</t>
  </si>
  <si>
    <t>WM Advice -&gt; Client -&gt; Client Financial Profile -&gt; Assets &amp; Liabilities</t>
  </si>
  <si>
    <t>If found display Home data field from transcript or FPQ or Recommendation Report "[Amount, Code]" with proper detail ; If not found omit field</t>
  </si>
  <si>
    <t>Display Home data field with proper details; if not found display 'No detail has changed'</t>
  </si>
  <si>
    <t>The monetary value of the client's Home as a numeric value (Amount) and the currency as a three‑letter code (Code), e.g., GBP, USD, EU.</t>
  </si>
  <si>
    <t>If found display Other Property data field from transcript or FPQ or Recommendation Report "[Amount, Code]" with proper detail ; If not found omit field</t>
  </si>
  <si>
    <t>Display Other Property data field with proper details; if not found display 'No detail has changed'</t>
  </si>
  <si>
    <t>The monetary valueany additional properties owned by the client apart from the primary residence, such as vacation homes or rental properties as a numeric value (Amount) and the currency as a three‑letter code (Code), e.g., GBP, USD, EU.</t>
  </si>
  <si>
    <t>If found display Cash data field from transcript or FPQ or Recommendation Report "[Amount, Code]" with proper detail ; If not found omit field</t>
  </si>
  <si>
    <t>Display Cash data field with proper details; if not found display 'No detail has changed'</t>
  </si>
  <si>
    <t>The total Cash holdings of the client, including physical cash and funds in checking/savings accounts as a numeric value (Amount) and the currency as a three‑letter code (Code), e.g., GBP, USD, EU</t>
  </si>
  <si>
    <t>If found display Investment Bonds data field from transcript or FPQ or Recommendation Report "[Amount, Code]" with proper detail ; If not found omit field</t>
  </si>
  <si>
    <t>Display Investment Bonds data field with proper details; if not found display 'No detail has changed'</t>
  </si>
  <si>
    <t>The total value of the client's holdings in Investment Bonds as a numeric value (Amount) and the currency as a three‑letter code (Code), e.g., GBP, USD, EU.</t>
  </si>
  <si>
    <t>If found display Pension Funds data field from transcript or FPQ or Recommendation Report "[Amount, Code]" with proper detail ; If not found omit field</t>
  </si>
  <si>
    <t>Display Pension Funds data field with proper details; if not found display 'No detail has changed'</t>
  </si>
  <si>
    <t>The total value of the client's pension funds, including workplace pensions, private pensions, and any other retirement savings plans as a numeric value (Amount) and the currency as a three‑letter code (Code), e.g., GBP, USD, EU.</t>
  </si>
  <si>
    <t>If found display NISAs data field from transcript or FPQ or Recommendation Report "[Amount, Code] " with proper detail ; If not found omit field</t>
  </si>
  <si>
    <t>Display NISAs data field with proper details; if not found display 'No detail has changed'</t>
  </si>
  <si>
    <t>The total value of the client's NISAs (New Individual Savings Accounts) as a numeric value (Amount) and the currency as a three‑letter code (Code), e.g., GBP, USD, EU.</t>
  </si>
  <si>
    <t>If found display Unit &amp; Investment Trusts OEICS data field from transcript or FPQ or Recommendation Report "[Amount, Code]" with proper detail ; If not found omit field</t>
  </si>
  <si>
    <t>Display Unit &amp; Investment Trusts OEICS data field with proper details; if not found display 'No detail has changed'</t>
  </si>
  <si>
    <t>The total value of the client's holdings in Unit Trusts, Investment Trusts, or OEICs (Open-Ended Investment Companies) as a numeric value (Amount) and the currency as a three‑letter code (Code), e.g., GBP, USD, EU.</t>
  </si>
  <si>
    <t>If found display Shares data field from transcript or FPQ or Recommendation Report "[Amount, Code]" with proper detail ; If not found omit field</t>
  </si>
  <si>
    <t>Display Shares data field with proper details; if not found display 'No detail has changed'</t>
  </si>
  <si>
    <t>The total value of the client's  shareholdings, including listed and unlisted company shares as a numeric value (Amount) and the currency as a three‑letter code (Code), e.g., GBP, USD, EU.</t>
  </si>
  <si>
    <t>If found display Business Assets data field from transcript or FPQ or Recommendation Report "[Amount, Code]" with proper detail ; If not found omit field</t>
  </si>
  <si>
    <t>Display Business Assets data field with proper details; if not found display 'No detail has changed'</t>
  </si>
  <si>
    <t>The total value of the client's   business assets, including ownership stakes, business property, and any other business-related holdings as a numeric value (Amount) and the currency as a three‑letter code (Code), e.g., GBP, USD, EU.</t>
  </si>
  <si>
    <t>If found display All Other Assets data field from transcript or FPQ or Recommendation Report "[Amount, Code]" with proper detail ; If not found omit field</t>
  </si>
  <si>
    <t>Display All Other Assets data field with proper details; if not found display 'No detail has changed'</t>
  </si>
  <si>
    <t>The total value of all other assets owned by the client that are not listed in other asset categories as a numeric value (Amount) and the currency as a three‑letter code (Code), e.g., GBP, USD, EU.</t>
  </si>
  <si>
    <t>For each client, extract or sum all liabilities including mortgage, loans, cards, overdraft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</si>
  <si>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Liabilities data field with proper details; if not found display 'No detail has changed'</t>
  </si>
  <si>
    <t>The total value of all liabilities owed by the client, including mortgages, loans, credit card debts, and other outstanding obligations as a numeric value (Amount) and the currency as a three‑letter code (Code), e.g., GBP, USD, EU.</t>
  </si>
  <si>
    <t xml:space="preserve">Mortgage (Main Residence) </t>
  </si>
  <si>
    <t>If found display Mortgage (main residence) data field from transcript or FPQ or Recommendation Report "[Amount, Code] " with proper detail ; If not found omit field</t>
  </si>
  <si>
    <t>Display Mortgage (Main Residence) data field with proper details; if not found display 'No detail has changed'</t>
  </si>
  <si>
    <t>The outstanding Mortgage balance for the client's primary residence as a numeric value (Amount) and the currency as a three‑letter code (Code), e.g., GBP, USD, EU.</t>
  </si>
  <si>
    <t>Mortgage (Other Property)</t>
  </si>
  <si>
    <t>If found display Mortgage (other property) data field from transcript or FPQ or Recommendation Report "[Amount, Code] " with proper detail ; If not found omit field</t>
  </si>
  <si>
    <t>Display Mortgage (Other Property) data field with proper details; if not found display 'No detail has changed'</t>
  </si>
  <si>
    <t>The outstanding mortgage balance for any other property owned by the client, such as second homes, investment properties, or holiday homes as a numeric value (Amount) and the currency as a three‑letter code (Code), e.g., GBP, USD, EU.</t>
  </si>
  <si>
    <t>If found display Credit Cards data field from transcript or FPQ or Recommendation Report "[Amount, Code] " with proper detail ; If not found omit field</t>
  </si>
  <si>
    <t>Display Credit Cards data field with proper details; if not found display 'No detail has changed'</t>
  </si>
  <si>
    <t>The total outstanding balance on all credit cards held by the client as a numeric value (Amount) and the currency as a three‑letter code (Code), e.g., GBP, USD, EU.</t>
  </si>
  <si>
    <t>If found display Overdraft data field from transcript or FPQ or Recommendation Report "[Amount, Code] " with proper detail ; If not found omit field</t>
  </si>
  <si>
    <t>Display Overdraft data field with proper details; if not found display 'No detail has changed'</t>
  </si>
  <si>
    <t>The overdraft amount held by the client as a numeric value (Amount) and the currency as a three‑letter code (Code), e.g., GBP, USD, EU.</t>
  </si>
  <si>
    <t>If found display Loans data field from transcript or FPQ or Recommendation Report "[Amount, Code] " with proper detail ; If not found omit field</t>
  </si>
  <si>
    <t>Display Loans data field with proper details; if not found display 'No detail has changed'</t>
  </si>
  <si>
    <t>Loans related to education, vehicles, car finance or hire purchase (HP) as a numeric value (Amount) and the currency as a three‑letter code (Code), e.g., GBP, USD, EU.</t>
  </si>
  <si>
    <t>For each client, calculate if both assets and liabilities given, or extract explicit net worth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</si>
  <si>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Net Worth data field with proper details; if not found display 'No detail has changed'</t>
  </si>
  <si>
    <t>The Total Net Worth of the client which is Total Assets - Total Liabilities as a numeric value (Amount) and the currency as a three‑letter code (Code), e.g., GBP, USD, EU.</t>
  </si>
  <si>
    <t>For each client display Assets &amp; Liabilities Details data field; if not found omit field</t>
  </si>
  <si>
    <t>Display Assets &amp; Liabilities Details data field; if not found display 'No detail has changed'</t>
  </si>
  <si>
    <t>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with proper detail</t>
  </si>
  <si>
    <t>Goals &amp; Objectives</t>
  </si>
  <si>
    <t>For each client, extract all objectives from transcript or FPQ or Recommendation Report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
If found, display from transcript or FPQ or Recommendation Report "[option1]; [option2]..." (all selected); If no match, display "Other"</t>
  </si>
  <si>
    <t>Display Client Objectives data field; if two or more objectives are found separate with ';'. If not found display 'No detail has changed'</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</si>
  <si>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t>
  </si>
  <si>
    <t>WM Advice -&gt; Client -&gt; Client Financial Profile -&gt; Goals &amp; Objectives</t>
  </si>
  <si>
    <t>For each client,extract word by word from  transcript or FPQ or Recommendation Report statements where the client explicitly references purpose or intended outcome for investing, after or during discussion with the adviser with proper details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Ignore generic or unqualified investment statements (e.g., “just investing” without further detail).
If found display "[extracted value]"; if not found display "No detail available"</t>
  </si>
  <si>
    <t>Display Investment Objectives Summary data field</t>
  </si>
  <si>
    <t>Client's  agreed goals and objectives for investing, after or during discussion with advisor with proper details</t>
  </si>
  <si>
    <t xml:space="preserve"> </t>
  </si>
  <si>
    <t>For each client goal identified display "Goal [N] - [Goal Name]"</t>
  </si>
  <si>
    <t>For each client goal identified, display Goal Name data field as "Goal [N]: 'Goal Name'"</t>
  </si>
  <si>
    <t>Corresponding Goal Name of each goal.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t>
  </si>
  <si>
    <t>WM Advice -&gt; Client -&gt; Client Financial Profile -&gt; Goals &amp; Objectives -&gt; Goals</t>
  </si>
  <si>
    <t>For each client goal already identified and if valid description is found display "Goal [N]: [extracted value]"; if not found display "Goal [N]: No detail available"</t>
  </si>
  <si>
    <t>For each client goal identified, display Goal Description data field with proper details</t>
  </si>
  <si>
    <t>Full detail that describes what the client wants to achieve with the goal with proper details</t>
  </si>
  <si>
    <t>For each client Goal [N] display "Goal [N]: [High/Medium/Low]" with proper details; if not found display "Goal [N]: No detail available"</t>
  </si>
  <si>
    <t>For each client goal identified, display Priority Level data field in terms of High, Medium or Low with proper details</t>
  </si>
  <si>
    <t>Client’s stated ranking of the goal’s importance or goal-related text for priority wording or numeric ranking with proper details. Possible values:  High, Medium, or Low</t>
  </si>
  <si>
    <t>For each client Goal [N] if a valid owner is found display "Goal [N]: [extracted value]"; if there are two or more owners display "Goal [N]: [Owner 1] &amp; [Owner 2] [&amp; Owner 3…]" with proper details; if not found display "Goal [N]: No detail available"</t>
  </si>
  <si>
    <t>For each client goal identified, display Goal Owner data field with proper details; if there are two or more Goal Owners separate each name with '&amp;'</t>
  </si>
  <si>
    <t>The specific individual(s) named as responsible for, or assigned to, the goal within the financial plan with proper details (e.g., “this is mainly Anna’s goal”, “Raj will fund this”, “joint goal for both of us”)</t>
  </si>
  <si>
    <t>For each client Goal [N] if a valid start date is found display "Goal [N]: [DD/MM/YYYY] [x]" with proper details; If not found omit field</t>
  </si>
  <si>
    <t>For each goal identified, display Start Date data field as dd/mm/YYYY with proper details</t>
  </si>
  <si>
    <t>The date or explicit timeframe when the client intends to begin saving or investing for this goal with proper details</t>
  </si>
  <si>
    <t>For each client Goal [N] if a valid horizon is found as a date, display "Goal [N]: [DD/MM/YYYY]"; if a valid horizon is found as a duration, display "Goal [N]: Duration [Int] [Unit]"; if a valid horizon is found as a target age, display "Goal [N]: Age [Int]"; If no valid horizon is found omit field</t>
  </si>
  <si>
    <t>For each goal identified, display Goal Target Horizon data field; if it is found as date display as dd/mm/YYYY; if it is found as duration display as "Duration [Int] [Unit]"; if it is found as a target date display as "Age [Int]"</t>
  </si>
  <si>
    <t>The point in time when the client needs the goal to be achieved  with proper details, including a specific calendar date, duration from now, or a target age</t>
  </si>
  <si>
    <t>Flexibility of Timing</t>
  </si>
  <si>
    <t>For each client Goal [N] if a valid rule is found display "Goal [N]: [Inflexible/Flexible/Somewhat Flexible]" with proper details; if not found omit field</t>
  </si>
  <si>
    <t>For each client goal identified, display Priority Level data field in terms of Inflexible, Flexible, or Somewhat Flexible with proper details</t>
  </si>
  <si>
    <t>Indicate how fixed or movable the goal’s end date is, which can be Inflexible, Flexible, or Somewhat Flexible and adding proper details</t>
  </si>
  <si>
    <t>For each client Goal [N] if a valid amount (and currency) is found display "Goal [N]: [Amount, Code]" including proper details; if not omit field</t>
  </si>
  <si>
    <t>For each client goal identified, display Target Corpus data field with proper details</t>
  </si>
  <si>
    <t>The monetary amount the client aims to accumulate for that goal with proper details</t>
  </si>
  <si>
    <t>Current Investments towards the Goal</t>
  </si>
  <si>
    <t>For each client Goal [N] if a valid amount (and currency) is found display "Goal [N] [Amount, Code]" with proper details; if multiple existing pots are clearly for the same goal, sum them. If not found omit field</t>
  </si>
  <si>
    <t>For each client goal identified, display Current Investments towards the Goal data field with proper details; if multiple existing pots are clearly for the same goal sum them and include details about it</t>
  </si>
  <si>
    <t>The value of any existing savings or investments that the client states are already allocated to that specific goal with proper details</t>
  </si>
  <si>
    <t>For each client Goal [N] if a valid value is found display "Goal [N]: [Periodic/Lumpsum] " and include proper details; if not found omit field</t>
  </si>
  <si>
    <t>For each client goal identified, display Investment Contribution Mode data field in terms of Periodic or Lumpsum with proper details</t>
  </si>
  <si>
    <t xml:space="preserve"> The client’s stated preferred method of funding this specific goal, Periodic or Lumpsum, with proper details</t>
  </si>
  <si>
    <t>Available Monthly Surplus</t>
  </si>
  <si>
    <t>For each client Goal [N] where "Investment Contribution Mode" = Periodic and a valid amount (and currency) is found display "Goal [N]: [Amount, Code]" with proper details; If not found or "Investment Contribution Mode" = Lumpsum, omit field</t>
  </si>
  <si>
    <t>For each client goal identified where Investment Contribution Mode = Periodic and a valid amount is found display Available Monthly Surplus data field with proper details; if not found or Investment Contribution mode is not Periodic omit field</t>
  </si>
  <si>
    <t>Where Investment Contribution Mode = Periodic, it indicates the recurring amount (usually monthly) that the client states they can invest towards this specific goal with proper details</t>
  </si>
  <si>
    <t>For each client if a valid amount (and currency) is found display "[Amount, Code]" with proper details; if not found omit field</t>
  </si>
  <si>
    <t>For each client goal identified, display Available Lumpsum Amount data field with proper details</t>
  </si>
  <si>
    <t>Any one‑time, non‑recurring amount the client states they have available to invest immediately for this goal with proper details</t>
  </si>
  <si>
    <t>Goal Detail</t>
  </si>
  <si>
    <t>For each client if at least one valid goal is identified, display "[extracted value]" where [extracted value] is the numeric count; If no valid goals are identified display "0"</t>
  </si>
  <si>
    <t xml:space="preserve">Any narrative commentary recorded around the goal, why it matters, how the client feels about it. </t>
  </si>
  <si>
    <t>For each client display Goals &amp; Objectives Details data field; if not found omit field</t>
  </si>
  <si>
    <t>Display Goals &amp; Objectives Details data field with proper details and split into separate bullets when they describe different aspects</t>
  </si>
  <si>
    <t xml:space="preserve">Any narrative commentary recorded around Goals &amp; Objectives, why goals matter, how the client feels about them. Within FPQ, a commentary is captured on Client goals, objectives, financial circumstances, recommendation, etc, which needs to be extracted in this field
 </t>
  </si>
  <si>
    <t>3. Taxation</t>
  </si>
  <si>
    <t>For each client, if found on transcript or FPQ or Recommendation Report display "Taxation on Withdrawal (Chargeable Gains, CGT, IHT Liability)"; if not found display "No detail available"</t>
  </si>
  <si>
    <t>Display Taxation on Withdrawal (Chargeable Gains, CGT, IHT Liability) data field with proper details; if Meeting Objective data field is Initial Consultation display 'No detail available'; in other cases display 'No detail has changed'</t>
  </si>
  <si>
    <t xml:space="preserve">Whether the adviser provides or references a calculation involving chargeable gains, Capital Gains Tax (CGT), or Inheritance Tax (IHT) liability. If the advise is given on some calculation with chargeable gains or encashment, then ensure that the calculations is correct. Release calculations are validated to ensure that if there is some tax laibility it is calculated correctly. </t>
  </si>
  <si>
    <t>WM Advice -&gt; Client -&gt; Client Taxation</t>
  </si>
  <si>
    <t>Tax Planning Strategies</t>
  </si>
  <si>
    <t>For each client, if found on transcript or FPQ or Recommendation Report display Tax Planning Strategies data field; if not found omit field</t>
  </si>
  <si>
    <t>Display Tax Planning Strategies data field with proper details; if Meeting Objective data field is Initial Consultation display 'No detail available'; in other cases display 'No detail has changed'</t>
  </si>
  <si>
    <t>Specific or general strategies used or considered for tax efficiency with proper details</t>
  </si>
  <si>
    <t>For each client, if found on transcript or FPQ or Recommendation Report display Client Tax Preferences data field; if not found omit field</t>
  </si>
  <si>
    <t>Display Client Tax Preferences data field with proper details; if Meeting Objective data field is Initial Consultation display 'No detail available'; in other cases display 'No detail has changed'</t>
  </si>
  <si>
    <t>Client’s preferences or attitudes towards tax planning with proper details</t>
  </si>
  <si>
    <t>For each client, if found on transcript or FPQ or Recommendation Report display Taxation Overview data field ; if not found omit field</t>
  </si>
  <si>
    <t>Client’s income tax status, CGT, IHT considerations and overall tax strategy discussion with proper details</t>
  </si>
  <si>
    <t>4. Existing Products</t>
  </si>
  <si>
    <t>Product Type</t>
  </si>
  <si>
    <t>For each client existing product, if found on transcript or FPQ or Recommendation Report display Product Type - Existing Product data field; if not found omit field</t>
  </si>
  <si>
    <t>The broad category or classification of the client’s current financial product, such as pension, ISA, mortgage, protection, investment bong, general investment account with proper detail</t>
  </si>
  <si>
    <t>WM Advice -&gt; Client -&gt; Existing Products -&gt; Product</t>
  </si>
  <si>
    <t>Fund Name</t>
  </si>
  <si>
    <t>For each client and each of their product, if found on transcript or FPQ or Recommendation Report for each product display Fund Name - Existing Product data field; if not found or generic omit field</t>
  </si>
  <si>
    <t>Provider Name</t>
  </si>
  <si>
    <t>For each client and each of their product, if found on transcript or FPQ or Recommendation Report display Provider Name - Existing Product data field; if not found omit field</t>
  </si>
  <si>
    <t>For each client display Existing Product Details data field in bullet-style items. If not found omit field</t>
  </si>
  <si>
    <t>Narrative statements about current products with proper details (e.g., pensions, ISAs, bonds, policies)</t>
  </si>
  <si>
    <t>WM Advice -&gt; Client -&gt; Existing Products</t>
  </si>
  <si>
    <t>For each client, if found on transcript or FPQ or Recommendation Report display Cashflow Scenarios &amp; Assumptions data field; if not found omit field</t>
  </si>
  <si>
    <t>Summary of key assumptions, scenarios modelled and approach with proper details</t>
  </si>
  <si>
    <t>WM Advice -&gt; Client -&gt; Cashflow Modelling</t>
  </si>
  <si>
    <t>Outcomes &amp; Client Decisions</t>
  </si>
  <si>
    <t>For each client, if found on transcript or FPQ or Recommendation Report display Outcomes and Client Decisions data field; if not found omit field</t>
  </si>
  <si>
    <t>Main results, client reactions, decisions made and action plans following the modelling with proper details</t>
  </si>
  <si>
    <t>For each client display Cashflow Modelling Details data field; if  not found omit field</t>
  </si>
  <si>
    <t>Narrative statements about cashflow projections and scenarios with proper details</t>
  </si>
  <si>
    <t>For each client, if found on transcript or FPQ or Recommendation Report display Estate Arrangements data field; if not found omit field</t>
  </si>
  <si>
    <t>Client's overview of estate planning in place, including wills, powers of attorney (POA), trusts, major gifts or legacy goals with proper details</t>
  </si>
  <si>
    <t>WM Advice -&gt; Client -&gt; Estate Planning</t>
  </si>
  <si>
    <t>For each client, if found on transcript or FPQ or Recommendation Report display Adviser Notes data field; if not found omit field</t>
  </si>
  <si>
    <t>Any recommendations or referrals client has received from legal and estate planning professionals and key advisor notes with proper details</t>
  </si>
  <si>
    <t>Time Horizon- Growth</t>
  </si>
  <si>
    <t>Transcript, FPQ, RAQ</t>
  </si>
  <si>
    <t>If found on transcript or RAQ or Recommendation Report display Time Horizon - Growth data field; if not found or Investment Objective is not "Growth" or "Growth &amp; Income" omit data field</t>
  </si>
  <si>
    <t>Refers to the expected time period during which the client plans to leave their investment untouched to focus on capital accumulation (growth), without needing to withdraw income. This reflects how long they can remain invested before withdrawing from investment</t>
  </si>
  <si>
    <t>WM Advice -&gt; Client -&gt; Client Risk Assessment</t>
  </si>
  <si>
    <t>Time Horizon- Income</t>
  </si>
  <si>
    <t>If found on transcript or RAQ or Recommendation Report display Time Horizon - Income data field; if not found or Investment Objective is not "Income" or "Growth &amp; Income" omit data field</t>
  </si>
  <si>
    <t>Refers to the duration over which the client expects to draw a regular income from their investment. This reflects how long the investment is expected to support regular withdrawals</t>
  </si>
  <si>
    <t>Access Investment- Growth</t>
  </si>
  <si>
    <t>If found on transcript or RAQ or Recommendation Report display Access Investment-Growth data field; if not found omit field</t>
  </si>
  <si>
    <t>Refers to how does the client expects to access funds from an investment intended for capital growth, including any rules or expectations about accessing (liquidity, notice, penalties for early withdrawal) for growth-oriented funds with proper details</t>
  </si>
  <si>
    <t>Access Investment- Income</t>
  </si>
  <si>
    <t>If found on transcript or RAQ or Recommendation Report display Access Investment-Income data field; if not found omit field</t>
  </si>
  <si>
    <t>Refers to how does the client expects to access funds from an investment intended to provide regular income, including any rules or expectations about accessing (liquidity, notice, penalties for early withdrawal) for income-focused assets/products with proper details</t>
  </si>
  <si>
    <t>If found on transcript or RAQ or Recommendation Report display Risk Score data field as value 1-50; if not found omit field</t>
  </si>
  <si>
    <t>A numeric value derived from the client’s responses in the risk assessment, reflecting their overall attitude to investment risk. It can be between 1-50. This is different that Client Risk category</t>
  </si>
  <si>
    <t>If found on transcript or RAQ or Recommendation Report display Client Risk Category data field as value 1-10; if not found omit field</t>
  </si>
  <si>
    <t>It is the client’s assessed risk profile based on their responses to the questions answered in the risk questionnaire. It must be between 1-10</t>
  </si>
  <si>
    <t>If found on transcript or RAQ or Recommendation Report display Agreed Client Risk Category data field as value 1-10; if not found omit field</t>
  </si>
  <si>
    <t>The final agreed risk category, following discussion between adviser and client. If it differs from the initial client risk category, than a rationale must be provided. If no rationale is provided then consider this field as Not Available. It must be between 1-10</t>
  </si>
  <si>
    <t>Capacity for Loss</t>
  </si>
  <si>
    <t>If found on transcript or RAQ or Recommendation Report display Capacity For Loss data field; if not found omit field</t>
  </si>
  <si>
    <t>The client’s financial ability to absorb a fall in the value of their investments without it having a material impact on their standard of living or financial objectives. This may be stated as a specific value, rating, or category (such as High, Low, or Sufficient) or described narratively (such as referencing investment timeframe, stability of finances, or tolerance for fluctuations) with proper details</t>
  </si>
  <si>
    <t>If found on transcript or RAQ or Recommendation Report display Knowledge &amp; Experience data field; if not found omit field</t>
  </si>
  <si>
    <t>Indicates the client’s level of understanding, knowledge and past experience with different types of investments described as Novice, Intermediate, or Advanced with proper details</t>
  </si>
  <si>
    <t>If found on transcript or RAQ or Recommendation Report display Ethical Preference &amp; Other Considerations data field; if not found omit field</t>
  </si>
  <si>
    <t>It captures environment, social, governance, ethical, religious preferences or consideration before making an investment with proper details</t>
  </si>
  <si>
    <t>ATR Response Consistency</t>
  </si>
  <si>
    <t>If found on transcript or RAQ or Recommendation Report display ATR response consistency data field; if not found or all consistent or not checked omit field</t>
  </si>
  <si>
    <t>If any response or data point is inconsistent with another in content, logic, or implied behaviour, flag it as Inconsistent and provide a brief explanation along with pointing out the questions describing the logical or response-level contradiction</t>
  </si>
  <si>
    <t>If found on transcript or RAQ or Recommendation Report display Risk Capacity data field; if not found omit field</t>
  </si>
  <si>
    <t>Client's financial ability absorb losses, based on financial strength and constraints; subjective asessment of risk with proper details</t>
  </si>
  <si>
    <t>For each client display from transcript or RAQ or Recommendation Report Attitude to Risk data field; if not found omit field</t>
  </si>
  <si>
    <t>Narrative statements about risk with proper details, including narrative justification or explanation if risk category was changed after discussion</t>
  </si>
  <si>
    <t>Confidiality Notice</t>
  </si>
  <si>
    <t>Always display at the end of the document as "This note contains sensitive personal and financial information. It must be stored securely and accessed only by authorised personnel for regulatory and client care purposes."</t>
  </si>
  <si>
    <t>WM Advice -&gt; Confidiality Notice</t>
  </si>
  <si>
    <t>Business Rule (Application)</t>
  </si>
  <si>
    <t>Display Client name(s) data field; Adviser Name data field; Main topics covered (e.g., retirement, protection, investments, tax, estate); Primary client(s) concerns and objectives;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intenal process notes (e.g., back‑office tasks, system errors) that are not relevant to the client‑facing narrative
Display as opening paragraph from adviser's perspective. Format: "[Client Name(s)] discussed [main topics]. [Key concern(s)]. [Primary objective(s) and key decision(s) or next step(s)]."</t>
  </si>
  <si>
    <t xml:space="preserve">Personal Details </t>
  </si>
  <si>
    <t>If found display the following data fields in this specific order Client ID; Client Name(s); Date of Birth; Age; Marital Status; Family Members; No of Dependents; Country of Residence; UK Resident for Tax; UK Domicile; Address; Accomodation Type; Have you made a Will; Are your Wills up to date data; Employment Status; Director Family Details fields with proper detail. If any data field is not found/null omit the data field.</t>
  </si>
  <si>
    <t>Personal Details Soft Notes</t>
  </si>
  <si>
    <t>If found display Personal Details Soft Notes data field with proper detail in bullet-syle points. If not found/null display 'No detail available'</t>
  </si>
  <si>
    <t>Vulnerability</t>
  </si>
  <si>
    <t>If found display in specific order State of Health; Is Vulnerable Client; Vulnerability Details data fields with proper details; if any data field is not found/null omit the data field</t>
  </si>
  <si>
    <t>Vulnerability Soft Notes</t>
  </si>
  <si>
    <t>If found display Vulnerability Soft Notes data field with proper detail in bullet-syle points. If not found/null display 'No detail available'</t>
  </si>
  <si>
    <t>Retirement Planning</t>
  </si>
  <si>
    <t>If found display Intended Retirement Age and Income Required in Retirement data fields in specific order. If any data field is not found/null omit the data field</t>
  </si>
  <si>
    <t>Retirement Planning Soft Notes</t>
  </si>
  <si>
    <t>If found display Retirement Planning Soft Notes data field with proper detail in bullet-syle points. If not found/null display 'No detail available'</t>
  </si>
  <si>
    <t>Other Business Soft Notes</t>
  </si>
  <si>
    <t>If found display Other Business Soft Notes data field with proper detail in bullet-syle points. If not found/null display 'No detail available'</t>
  </si>
  <si>
    <t>Income &amp; Expenditure</t>
  </si>
  <si>
    <t>If found display with proper details and in specific order Total Net Monthly Income; Monthly Surplus Income; Income Details; Total Monthly Expenditure; Mortgages &amp; Rent; Loans &amp; Credit; Pensions, Savings &amp; Insurance; Household &amp; Utilities; Travel &amp; Transport; Discretionary &amp; Leisure; Child Care; All Household Expenditure data fields with proper details. If any data field is not found/null omit the data field.</t>
  </si>
  <si>
    <t>Income &amp; Expenditure Soft Notes</t>
  </si>
  <si>
    <t>Display Income Soft Notes and Expenditure Soft Notes data fields with proper details in bullet-style points; if any data field is not found/null display 'No detail available'.</t>
  </si>
  <si>
    <t>Loans &amp; Liabilities</t>
  </si>
  <si>
    <t xml:space="preserve">If found display with proper details and in specific order Total Liabilities, Mortgage (Main Residence); Mortgage (Other Property); Credit Cards; Overdraft; Loans data fields with proper details. If any data field is not found/null omit the data field. </t>
  </si>
  <si>
    <t>Loans &amp; Liabilities Soft Notes</t>
  </si>
  <si>
    <t>Display  Loans &amp; Liabilities Soft Notes data field with proper details in bullet-style points; if not found display 'No detail available'.</t>
  </si>
  <si>
    <t>Savings &amp; Investments</t>
  </si>
  <si>
    <t xml:space="preserve"> If found display with proper details and in specific order Total Assets; Home; Other Property; Cash; Investment Bonds; Pension Funds; NISs; Unit &amp; Investment Trusts OEICS; Shares; Business Assets; Total Net Worth data fields. If any data field is not found/null omit the data field.</t>
  </si>
  <si>
    <t>Savings &amp; Investments Soft Notes</t>
  </si>
  <si>
    <t>Display  Savings &amp; Investments Soft Notes data field with proper details in bullet-style points; if not found display 'No detail available'.</t>
  </si>
  <si>
    <t xml:space="preserve"> If found display with proper details and in specific order Client Objectives; Investment Objectives Summary; Goal Name; Goal Description; Priority Level; Goal Owner; Start Date; Goal Target Horizon; Flexibility of Timing; Target Corpus; Current Investments towards the Goal; Investment Contribution Mode; Available Monthly Surplus; Available Lumpsum Amount; Goal Detail data fields. If any data field is not found/null omit the data field.</t>
  </si>
  <si>
    <t>Goals &amp; Objectives Soft Notes</t>
  </si>
  <si>
    <t>Display  Goals &amp; Objectives Soft Notes data field with proper details in bullet-style points; if not found display 'No detail available'.</t>
  </si>
  <si>
    <t>Taxation</t>
  </si>
  <si>
    <t>If found display with proper details and in specific order Taxation on Withdrawal (Chargeable Gains, CGT, IHT Liability); Tax Planning Strategies; Client Tax Preferences data fields. If any data field is not found/null omit the data field.</t>
  </si>
  <si>
    <t>Taxation Soft Notes</t>
  </si>
  <si>
    <t>Display Taxation Soft Notes data field with proper details in bullet-style points; if not found display 'No detail available'.</t>
  </si>
  <si>
    <t>4. Protection</t>
  </si>
  <si>
    <t>Protection</t>
  </si>
  <si>
    <t>If found display with proper details and in specific order Product Type; Fund Name; Provider Name data fields. If any data field is not found/null omit the data field.</t>
  </si>
  <si>
    <t>Protection Soft Notes</t>
  </si>
  <si>
    <t>Display Protection Soft Notes data field with proper details in bullet-style points; if not found display 'No detail available'.</t>
  </si>
  <si>
    <t>5. Estate Planning</t>
  </si>
  <si>
    <t>If found display with proper details Estate Arrangements data field. If not found/null omit the data field.</t>
  </si>
  <si>
    <t>Estate Planning Soft Notes</t>
  </si>
  <si>
    <t>Display Estate Planning Soft Notes data field with proper details in bullet-style points; if not found display 'No detail available'.</t>
  </si>
  <si>
    <t>6. Future Planning</t>
  </si>
  <si>
    <t>Future Planning</t>
  </si>
  <si>
    <t>If found display with proper details and in specific order Cashflow Scenarios &amp; Assumptions and Outcomes &amp; Client Decisions data fields. If any data field is not found/null omit the data field.</t>
  </si>
  <si>
    <t>Future Planning Details</t>
  </si>
  <si>
    <t>Display Cashflow Modelling Details data field with proper details in bullet-style points; if not found display 'No detail available'.</t>
  </si>
  <si>
    <t>7. Attitude to Risk</t>
  </si>
  <si>
    <t>Transcript, RAQ</t>
  </si>
  <si>
    <t>If found display with proper details and in specific order Risk Score; Client Risk Category; Agreed Client Risk Category; Capacity for Loss; Knowledge &amp; Experience; Ethical Preference &amp; Other Considerations data fields. If any data field is not found/null omit the data field.</t>
  </si>
  <si>
    <t>Attitude to Risk Details</t>
  </si>
  <si>
    <t>Display Client Risk Assessment Details data field with proper details in bullet-style points; if not found display 'No detail available'.</t>
  </si>
  <si>
    <t>Internal Notes</t>
  </si>
  <si>
    <t>1. Personal Details</t>
  </si>
  <si>
    <t>WM Advice -&gt; Client -&gt; Personal Details</t>
  </si>
  <si>
    <t>Date of birth in DD/MM/YYYY format</t>
  </si>
  <si>
    <t>Accommodation Type</t>
  </si>
  <si>
    <t>Narrative statements around family context and circumstances,  relationships, lifestyle details, including employment information (occupation, job title, work patterns), living arrangements, and family support plans with proper details</t>
  </si>
  <si>
    <t>2. Vulnerability</t>
  </si>
  <si>
    <t>WM Advice -&gt; Client -&gt; Vulnerability</t>
  </si>
  <si>
    <t>Long-term Vulnerabilities</t>
  </si>
  <si>
    <t>Indicates whether the client suffer from any permanent disability or have any other reason to believe the client is facing any long-term vulnerability. Possible values: Yes or No</t>
  </si>
  <si>
    <t>Long-term Vulnerabilities Details</t>
  </si>
  <si>
    <t>Identify if the client is experiencing any long-term vulnerabilities related to one or more of the following situations
Age; Hearing; Learning; Mental health; Gender reassignment; Health; Language; Vision; Mental capacity; Other</t>
  </si>
  <si>
    <t>Circumstantial Vulnerabilities</t>
  </si>
  <si>
    <t>Identify if the client is experiencing or has experienced in the last 12 months one or more of the following situations: Bereavement (loss of a loved one); Divorce or separation; Serious illness or accident; Significant change in circumstances i.e., job loss or redundancy, reduction in income; Mental health challenges; Post traumatic stress disorder. Possible values: Yes or No</t>
  </si>
  <si>
    <t>Circumstantial Vulnerabilities Details</t>
  </si>
  <si>
    <t>Identify if the client is experiencing or has experienced in the last 12 months one or more of the following situations:
Bereavement; Divorce or separation; Serious illness or accident; Financial difficulties; Mental health challenges; Post traumatic Scress Disorder; Other</t>
  </si>
  <si>
    <t>Narrative statements across identified long-term and circumstantial vulnerabilities with proper details across Health Vulnerabilities, Life Event Vulnerabilities, Capability Vulnerabilities, and Financial Resilience; if any data field is not found/null omit the data field</t>
  </si>
  <si>
    <t>3. Other Business</t>
  </si>
  <si>
    <t>Narrative statements  about the client’s involvement in non-financial business activities, personal ventures, or community roles. Include details such as positions or roles held, sponsorship activities and fundraising efforts, business-related challenges, personal projects or organizational affiliations</t>
  </si>
  <si>
    <t>WM Advice -&gt; Client -&gt; Other Business</t>
  </si>
  <si>
    <t>Other Business</t>
  </si>
  <si>
    <t>4. Retirement Planning</t>
  </si>
  <si>
    <t>The Intended Retirement Age of client (i.e., at what age do you anticipate retiring?) if a client Employment Status is not Retired</t>
  </si>
  <si>
    <t>WM Advice -&gt; Client -&gt; Retirement Planning</t>
  </si>
  <si>
    <t>Captures the expected Income required by client in Retirement as a numeric value (Amount) and the currency symbol (e.g., £, $, €)</t>
  </si>
  <si>
    <t>Narrative statements around the client and family retirement status, plans and strategies including current retirement stage (e.g., retired, semi-retired), pension pot values and providers, income drawdown strategies and considerations for maximizing spend, tax-free pension allowance status and remaining limits, goals for retirement, cashflow modelling and sustainability concerns (including long-term income vs expenditure projections, assumptions, scenario analysis, sustanibility checks) with proper details</t>
  </si>
  <si>
    <t>5. Income &amp; Expenditure</t>
  </si>
  <si>
    <t>The client's Total Net Monthly Income as a numeric value (Amount) and the currency symbol (e.g., £, $, €)</t>
  </si>
  <si>
    <t>WM Advice -&gt; Client -&gt; Income &amp; Expenditure -&gt; Income</t>
  </si>
  <si>
    <t>The client's Monthly Surplus as a numeric value (Amount) and the currency symbol (e.g., £, $, €) It is generally computed by subtracting Total Monthly Expenditure from Total Net Monthly Income</t>
  </si>
  <si>
    <t>The client's Total Monthly Expenditure as a numeric value (Amount) and the currency symbol (e.g., £, $, €)</t>
  </si>
  <si>
    <t>WM Advice -&gt; Client -&gt; Income &amp; Expenditure -&gt; Expenditure</t>
  </si>
  <si>
    <t>The client's monthly Mortgages &amp; Rent payments as a numeric value (Amount) and the currency symbol (e.g., £, $, €)</t>
  </si>
  <si>
    <t>The client's monthly Loans &amp; Credit payments as a numeric value (Amount) and the currency symbol (e.g., £, $, €)</t>
  </si>
  <si>
    <t>The client's monthly contributions for Pensions, Savings &amp; Insurance as a numeric value (Amount) and the currency symbol (e.g., £, $, €)</t>
  </si>
  <si>
    <t>The client's monthly contributions for Household &amp; Utilities as a numeric value (Amount) and the currency symbol (e.g., £, $, €)</t>
  </si>
  <si>
    <t>The client's monthly contributions for Travel &amp; Transport as a numeric value (Amount) and the currency symbol (e.g., £, $, €)</t>
  </si>
  <si>
    <t>The client's monthly contributions for Discretionary &amp; Leisure as a numeric value (Amount) and the currency symbol (e.g., £, $, €)</t>
  </si>
  <si>
    <t>The client's monthly contributions for Child Care as a numeric value (Amount) and the currency symbol (e.g., £, $, €)</t>
  </si>
  <si>
    <t>The client's monthly All household expenditure as a numeric value (Amount) and the currency symbol (e.g., £, $, €)</t>
  </si>
  <si>
    <t>Income Soft Notes</t>
  </si>
  <si>
    <t>Narrative statements around Income including income from pensions, state pension, other sources (e.g.,  “large discretionary annual bonus”, “contract income not guaranteed”, “planning maternity leave next year”, “rental income may stop when property is sold”) with proper detail</t>
  </si>
  <si>
    <t>Expenditure Soft Notes</t>
  </si>
  <si>
    <t>Narrative statements around the client expending patterns and cash reserve usage including drawdown (regular withdrawals from pensions and savings), regular and discretionary spending (e.g., holidays, luxury purchases), large one-off expenses (e.g., lending money to family, buying a car) cash reserve levels and changes over time (e.g.,  “school fees ending in 3 years”, “temporary high rent until purchase completes”, “significant discretionary travel spend that could be reduced”), estimated annual expenditure and breakdowns (e.g., discretionary vs essential) with proper detail</t>
  </si>
  <si>
    <t>6. Loans &amp; Liabilities</t>
  </si>
  <si>
    <t>The total value of all liabilities owed by the client, including mortgages, loans, credit card debts, and other outstanding obligations as a numeric value (Amount) and the currency symbol (e.g., £, $, €)</t>
  </si>
  <si>
    <t>WM Advice -&gt; Client -&gt; Loans &amp; Liabilities -&gt; Liabilities</t>
  </si>
  <si>
    <t>The outstanding Mortgage balance for the client's primary residence as a numeric value (Amount) and the currency symbol (e.g., £, $, €)</t>
  </si>
  <si>
    <t>The outstanding mortgage balance for any other property owned by the client, such as second homes, investment properties, or holiday homes as a numeric value (Amount) and the currency symbol (e.g., £, $, €)</t>
  </si>
  <si>
    <t>The total outstanding balance on all credit cards held by the client as a numeric value (Amount) and the currency symbol (e.g., £, $, €)</t>
  </si>
  <si>
    <t>The overdraft amount held by the client as a numeric value (Amount) and the currency symbol (e.g., £, $, €)</t>
  </si>
  <si>
    <t>Loans related to education, vehicles, car finance or hire purchase (HP) as a numeric value (Amount) and the currency symbol (e.g., £, $, €)</t>
  </si>
  <si>
    <t>Narrative statements around Loans &amp; Liabilities provided or owed (e.g., "illiquid”, “cash held offshore”, “mortgage fixed rate ends in 2 years”, “loan guaranteed by parents”, “credit card debt on 0% promotional rate”, "loan to son of £23,000 for car purchase) with proper detail</t>
  </si>
  <si>
    <t>7. Savings &amp; Investments</t>
  </si>
  <si>
    <t>The total value of all assets owned by the client, including cash, investments, real estate, vehicles, and other possessions of value as a numeric value (Amount) and the currency symbol (e.g., £, $, €)</t>
  </si>
  <si>
    <t>WM Advice -&gt; Client -&gt; Savings &amp; Investments -&gt; Assets</t>
  </si>
  <si>
    <t>The monetary value of the client's Home as a numeric value (Amount) and the currency symbol (e.g., £, $, €)</t>
  </si>
  <si>
    <t>The monetary valueany additional properties owned by the client apart from the primary residence, such as vacation homes or rental properties as a numeric value (Amount) and the currency symbol (e.g., £, $, €)</t>
  </si>
  <si>
    <t>The total Cash holdings of the client, including physical cash and funds in checking/savings accounts as a numeric value (Amount) and the currency symbol (e.g., £, $, €)</t>
  </si>
  <si>
    <t>The total value of the client's holdings in Investment Bonds as a numeric value (Amount) and the currency symbol (e.g., £, $, €)</t>
  </si>
  <si>
    <t>The total value of the client's pension funds, including workplace pensions, private pensions, and any other retirement savings plans as a numeric value (Amount) and the currency symbol (e.g., £, $, €)</t>
  </si>
  <si>
    <t>The total value of the client's NISAs (New Individual Savings Accounts) as a numeric value (Amount) and the currency symbol (e.g., £, $, €)</t>
  </si>
  <si>
    <t>The total value of the client's holdings in Unit Trusts, Investment Trusts, or OEICs (Open-Ended Investment Companies) as a numeric value (Amount) and the currency symbol (e.g., £, $, €)</t>
  </si>
  <si>
    <t>The total value of the client's  shareholdings, including listed and unlisted company shares as a numeric value (Amount) and the currency symbol (e.g., £, $, €)</t>
  </si>
  <si>
    <t>The total value of the client's   business assets, including ownership stakes, business property, and any other business-related holdings as a numeric value (Amount) and the currency symbol (e.g., £, $, €)</t>
  </si>
  <si>
    <t>The total value of all other assets owned by the client that are not listed in other asset categories as a numeric value (Amount) and the currency symbol (e.g., £, $, €)</t>
  </si>
  <si>
    <t>The Total Net Worth of the client which is Total Assets - Total Liabilities as a numeric value (Amount) and the currency symbol (e.g., £, $, €)</t>
  </si>
  <si>
    <t>WM Advice -&gt; Client -&gt; Savings &amp; Investments</t>
  </si>
  <si>
    <t>Narrative statements around Assets, Savings and Investments  portfolio including total portfolio value and composition (e.g., diversified assets like commodities, bonds, carbon permits, performance metrics (e.g., portfolio growth percentages over time), platforms and providers used (e.g., Saltus, Investec, Raisin), interest rates or returns on specific investments, cash reserves and their value, ny notable investment strategies or holdings (e.g., GIAs, bonds, club investments) with proper detail</t>
  </si>
  <si>
    <t>8. Taxation</t>
  </si>
  <si>
    <t>WM Advice -&gt; Client -&gt; Taxation</t>
  </si>
  <si>
    <t>Narrative statements across Client’s income tax status, CGT, IHT considerations, current tax position, overall tax strategy discussion with proper details</t>
  </si>
  <si>
    <t>9. Protection</t>
  </si>
  <si>
    <t>The broad category or classification of the client’s current protection products including life insurance, health insurance, income protection with proper detail</t>
  </si>
  <si>
    <t>WM Advice -&gt; Client -&gt; Protection -&gt; Protection Product (N)</t>
  </si>
  <si>
    <t>Product name of existing protection product indicating the exact name or title of the client’s existing protection product. This must be the specific branded product name (e.g., Saltus Passive 7, Royal London Governed Portfolio Enhanced) and not a generic category. If only a generic type is mentioned without a product name, record the value as Not Available.</t>
  </si>
  <si>
    <t xml:space="preserve">The name of the company or institution stated in the report as providing or administering the client’s current protection product. This may be the plan provider or platform of client's existing protection product. </t>
  </si>
  <si>
    <t>Narrative statements about client's current protection products and related considerations with proper details including types of protection (e.g., life insurance, health insurance, income protection), coverage amount or suggested sum assured, premium details (monthly and annual premium amounts), client;s attitude or response toward protection recommendation, any gaps or changes in protection needs</t>
  </si>
  <si>
    <t>WM Advice -&gt; Client -&gt; Protection</t>
  </si>
  <si>
    <t>10. Additional Products</t>
  </si>
  <si>
    <t>The broad category or classification of the client’s current financial product, such as pension, ISA, mortgage, investment bond, general investment account and excluding protection products with proper detail</t>
  </si>
  <si>
    <t>WM Advice -&gt; Client -&gt; Additional Products -&gt; Product (N)</t>
  </si>
  <si>
    <t>Additional Products</t>
  </si>
  <si>
    <t>Product name of existing product indicating the exact name or title of the client’s existing financial product or portfolio excluding protection products. This must be the specific branded product name (e.g., Saltus Passive 7, Royal London Governed Portfolio Enhanced) and not a generic category such as Pension, ISA, Bond, Mortgage, or Portfolio. If only a generic type is mentioned without a product name, record the value as Not Available.</t>
  </si>
  <si>
    <t xml:space="preserve">The name of the company or institution stated in the report as providing or administering the client’s current product excluding protection product. This may be the plan provider or platform of client's existing product excluding protection product. </t>
  </si>
  <si>
    <t>Additional Products Soft Notes</t>
  </si>
  <si>
    <t>Narrative statements about client's current financial products excluding protection products with proper details including types of products (e.g., pensions, ISAs, bonds, policies), investment amount or current balance, premium estimate or contribution details (monthly and annual), client's attitude or response toward product recommendation</t>
  </si>
  <si>
    <t>WM Advice -&gt; Client -&gt; Additional Products</t>
  </si>
  <si>
    <t>11. Estate Planning</t>
  </si>
  <si>
    <t>Estate Value</t>
  </si>
  <si>
    <t>Total estimated estate value as a numeric value (Amount) and the currency symbol (e.g., £, $, €)</t>
  </si>
  <si>
    <t>Estate Planning</t>
  </si>
  <si>
    <t>Powers of Attourney (POA)</t>
  </si>
  <si>
    <t>Indicates whether the client has a Power of Attourney in place. Possible values: Yes or No</t>
  </si>
  <si>
    <t>Inheritance Tax Liability</t>
  </si>
  <si>
    <t>Approximate inheritance tax liability with proper details as a numeric value (Amount) and the currency symbol (e.g., £, $, €)</t>
  </si>
  <si>
    <t>Gifting Strategy</t>
  </si>
  <si>
    <t>Indicates gifting approach with proper details</t>
  </si>
  <si>
    <t>Trusts &amp; ISAs</t>
  </si>
  <si>
    <t>Indicates whether the client has Trusts or ISAs in place as part of the gifting strategy. Possible values: Yes or No</t>
  </si>
  <si>
    <t>Recommendations or Referrals</t>
  </si>
  <si>
    <t>Recommendations or referrals client has received from legal and estate planning professionals with proper details</t>
  </si>
  <si>
    <t>Narrative statements of estate planning arrangement and strategies including estimated estate value and its composition (e.g., investments, property, cash), inheritance tax (IHT) liability estimates and mitigation strategies, planning actions under consideration (e.g., gifting, trusts, life cover, business tax relief, AIM investments, downsizing), wealth transfer intentions for children and grandchildren, legal instruments and products (e.g., wills, powers of attorney, Junior ISAs for grandchildren),relevant legislative or policy changes impacting estate planning with proper detail</t>
  </si>
  <si>
    <t>12. Attitude to Risk</t>
  </si>
  <si>
    <t>A numeric value derived from the client’s responses in the risk assessment, reflecting their overall attitude to investment risk. It can be between 1-5. This is different that Client Risk category.</t>
  </si>
  <si>
    <t>WM Advice -&gt; Client -&gt; Attitude to Risk</t>
  </si>
  <si>
    <t>Attitude to Risk Soft Notes</t>
  </si>
  <si>
    <t>Narrative statements about risk with proper details, including narrative justification or explanation if risk category was changed after discussion, risk tolerance, investment approach (preference for balanced or conservative strategies)</t>
  </si>
  <si>
    <t>13. Goals &amp; Objectives</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</si>
  <si>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 release
-&gt; General insurance
-&gt; Retirement Options &amp; Pension Unlocking
-&gt; Other</t>
  </si>
  <si>
    <t>WM Advice -&gt; Client -&gt; Goals &amp; Objectives</t>
  </si>
  <si>
    <t xml:space="preserve"> Goals &amp; Objectives</t>
  </si>
  <si>
    <t>Goal Owner (Goal is for)</t>
  </si>
  <si>
    <t>Identifies the individual(s) associated with the goal, including details such as ownership or funding responsibility (e.g., “Anna’s goal”, “Raj will fund this”, “joint goal for both”)</t>
  </si>
  <si>
    <t>WM Advice -&gt; Client -&gt; Goals &amp; Objectives -&gt;  Goal [N]</t>
  </si>
  <si>
    <t>Provides a clear description of what the client aims to achieve with the goal (e.g., “build a retirement fund”, “pay for education”)</t>
  </si>
  <si>
    <t>Client wants to</t>
  </si>
  <si>
    <t>Specifies the client’s objective for the goal, selected from the following predefined options: Generate an income; Build up a capital sum; Mitigate inheritance tax; Tax planning; Protect against death, disability, loss of income; Consolidate existing plans</t>
  </si>
  <si>
    <t>For each goal, provide a combined statement summarizing the objective in this format: "[Goal Owner] wants to [Goal Description] with [Target Capital] to [Clients wants to]". For example: Ana wants to build a pot of £1,000,000 to pay for education.</t>
  </si>
  <si>
    <t>Target Capital</t>
  </si>
  <si>
    <t>Specifies the total amount the client intends to accumulate for the goal, shown as a numeric value (Amount) and currency symbol (e.g., £, $, €)</t>
  </si>
  <si>
    <t>Assumed Real Return</t>
  </si>
  <si>
    <t>The expected annual real rate of return for each goal, expressed as a percentage</t>
  </si>
  <si>
    <t>Target Annual Income</t>
  </si>
  <si>
    <t>The annual monetary amount the client aims to receive from the specific goal, represented as a numeric value (Amount) and currency symbol (e.g., £, $, €)</t>
  </si>
  <si>
    <t>Target Date</t>
  </si>
  <si>
    <t>The point in time when the client needs the specific goal to be achieved in terms of DD/MM/YYYY format</t>
  </si>
  <si>
    <t>Years From Now</t>
  </si>
  <si>
    <t>For each goal, the number of years from the current date until the client expects to achieve the goal</t>
  </si>
  <si>
    <t>For each goal, the date when the client intends to begin saving or investing for this goal in DD/MM/YYYY format</t>
  </si>
  <si>
    <t>Status</t>
  </si>
  <si>
    <t>Current status of the specific goal. Possible values: Undefined; Behind target; On target; Ahead of target; Satisfied</t>
  </si>
  <si>
    <t>Priority</t>
  </si>
  <si>
    <t>Client’s stated ranking of the specific goal’s importance or goal-related text for priority wording or numeric ranking with proper details. Possible values: Undefined; 5-Very Low; 4-Low; 3-Medium; 2-High; 1-Very High</t>
  </si>
  <si>
    <t>Any narrative commentary recorded around Goals &amp; Objectives, why goals matter, how the client feels about them. Within FPQ, a commentary is captured on Client goals, objectives, financial circumstances, recommendation, etc, which needs to be extracted in this field</t>
  </si>
  <si>
    <t>Meeting</t>
  </si>
  <si>
    <t>The type or purpose and type of the meeting and map to one of the options: "Initial Consultation" (e.g., initial call, first meeting, onboarding meeting); "Annual Review" (e.g., yearly review, annual check-in); "Ad-Hoc Review" (e.g., six-month review, interim review); "Other" (if nothing fits or is unclear)</t>
  </si>
  <si>
    <t>WM Advice</t>
  </si>
  <si>
    <t>Full name of the Adviser, including forename, midddle name and surname</t>
  </si>
  <si>
    <t>Meeting Date in dd-Month-YYYY format</t>
  </si>
  <si>
    <t>Meeting Format</t>
  </si>
  <si>
    <t>Format of the meeting. Possible values: Zoom; Face to face; Telephone; Email</t>
  </si>
  <si>
    <t>Opportunity Value</t>
  </si>
  <si>
    <t>Any anticipated AUM as a numeric value (Amount) and the currency symbol (e.g., £, $, €) For protection cases, it is the fee revenue the case will generate</t>
  </si>
  <si>
    <t>Date the document was generated which is current date in dd-Month-YYYY format</t>
  </si>
  <si>
    <t>Concise opening paragraph (4–5 sentences, ~500 characters) from the adviser’s perspective that includes client name(s), adviser name, main topics discussed (e.g., retirement, protection, investments, tax, estate), primary concerns and objectives, and key decisions or next steps, prioritizing time-critical, high-impact items and excluding internal process notes</t>
  </si>
  <si>
    <t>Adviser notes, actions, recommendations, and any flags grouped by time horizon (Immediate, Medium-Term, Long-Term), listing specific actionable items under each category with owner and timing where available, and omitting filler words or first-person language</t>
  </si>
  <si>
    <t>Explicit forward actions such as adviser tasks, client tasks, and planned meetings in concise bullet points, each ideally including owner and timing; exclude vague statements unless paired with a clear timeframe</t>
  </si>
  <si>
    <t>Display Meeting Objective data field</t>
  </si>
  <si>
    <t>Display Adviser Name data field</t>
  </si>
  <si>
    <t>Display Meeting Date data field</t>
  </si>
  <si>
    <t>Display Meeting Format data field</t>
  </si>
  <si>
    <t>Display Opportunity Value data field</t>
  </si>
  <si>
    <t>Display Document Generation Date data field</t>
  </si>
  <si>
    <t>Display Executive Summary data field in one paragraph and in plain language</t>
  </si>
  <si>
    <t>Display Summary of Discussion data field in bullet-style points and grouped into themes; if a topic was not discussed, do not display the theme</t>
  </si>
  <si>
    <t>Display Actions &amp; Recommendations data field grouped by Immediate, Medium-Term, Long-Term actions; if all actions are Short-Term only display under Immediate</t>
  </si>
  <si>
    <t>Display Next Steps data field in bullet-style points where each bullet is one action; if no clear steps display as 'No detail available'</t>
  </si>
  <si>
    <t>If found display the following data fields in this specific order Client ID; Client Name(s); Date of Birth; Age; Marital Status; Family Members; No of Dependents; Country of Residence; UK Resident for Tax; UK Domicile; Address; Accomodation Type; Employment Status; Director; Family Details fields with proper detail. If any data field is not found/null omit the data field.</t>
  </si>
  <si>
    <t>If found display in specific order State of Health; Long-term Vulnerabilities; Long-term Vulnerabilities Details; Circumstantial Vulnerabilities; Circumstantial Vulnerabilities Details with proper details; if any data field is not found/null omit the data field</t>
  </si>
  <si>
    <t>If found display Intended Retirement Age; Income Required in Retirement; Cashflow Scenarios &amp; Assumptions; Outcomes &amp; Client Decisions data fields in specific order. If any data field is not found/null omit the data field</t>
  </si>
  <si>
    <t>If found display with proper details and in specific order Total Net Monthly Income; Monthly Surplus Income; Total Monthly Expenditure; Mortgages &amp; Rent; Loans &amp; Credit; Pensions, Savings &amp; Insurance; Household &amp; Utilities; Travel &amp; Transport; Discretionary &amp; Leisure; Child Care; All Household Expenditure data fields with proper details. If any data field is not found/null omit the data field.</t>
  </si>
  <si>
    <t xml:space="preserve">If found display with proper details and in specific order Total Liabilities; Mortgage (Main Residence); Mortgage (Other Property); Credit Cards; Overdraft; Loans data fields with proper details. If any data field is not found/null omit the data field. </t>
  </si>
  <si>
    <t xml:space="preserve"> If found display with proper details and in specific order Total Assets; Home; Other Property; Cash; Investment Bonds; Pension Funds; NISAs; Unit &amp; Investment Trusts OEICS; Shares; Business Assets; All Other Assets; Total Net Worth data fields. If any data field is not found/null omit the data field.</t>
  </si>
  <si>
    <t>Display Additional Products Soft Notes data field with proper details in bullet-style points; if not found display 'No detail available'.</t>
  </si>
  <si>
    <t>If found display with proper details and in specific order Estate Value; Have you made a Will; Are your Wills up to date; Powers of Attourney (POA); Inheritance Tax Liability; Gifting Strategy; Trusts &amp; ISAs; Recommendations or Referrrals data fields. If any data field is not found/null omit the data field.</t>
  </si>
  <si>
    <t>Display Attitude to Risk Soft Notes data field with proper details in bullet-style points; if not found display 'No detail available'.</t>
  </si>
  <si>
    <t xml:space="preserve"> If found display with proper details and in specific order Client Objectives; Investment Objectives Summary; Goal Name; Target Capital; Assumed Real Return; Target Annual Income; Target Date; Years from Now; Start Date; Status; Priority ; Flexibility of Timing; Current Investments towards the Goal; Investment Contribution Mode; Available Monthly Surplus; Available Lumpsum Amount; Goal Detail data fields. If any data field is not found/null omit the data field.</t>
  </si>
  <si>
    <t>Confidentiality Notice</t>
  </si>
  <si>
    <t>Section</t>
  </si>
  <si>
    <t>Option/Field</t>
  </si>
  <si>
    <t>Choices/Answer</t>
  </si>
  <si>
    <t>Review Type</t>
  </si>
  <si>
    <t>Please select the review type</t>
  </si>
  <si>
    <t>Annual/Ad hoc</t>
  </si>
  <si>
    <t>Ad hoc meeting used in demo</t>
  </si>
  <si>
    <t>Do you want to use an existing review</t>
  </si>
  <si>
    <r>
      <rPr>
        <sz val="10"/>
        <color theme="1"/>
        <rFont val="Aptos Narrow"/>
        <family val="2"/>
        <scheme val="minor"/>
      </rPr>
      <t>Create new review/</t>
    </r>
    <r>
      <rPr>
        <i/>
        <sz val="10"/>
        <color theme="1"/>
        <rFont val="Aptos Narrow"/>
        <family val="2"/>
        <scheme val="minor"/>
      </rPr>
      <t>Choose old review</t>
    </r>
  </si>
  <si>
    <t>Is the review focused?</t>
  </si>
  <si>
    <t>Review name</t>
  </si>
  <si>
    <t>Has the meeting taken place</t>
  </si>
  <si>
    <t>When did the meeting happen</t>
  </si>
  <si>
    <t>Select date (format: Month DD, YYYY)</t>
  </si>
  <si>
    <t>Zoom/Face to face/Telephone/Email</t>
  </si>
  <si>
    <t>Please input any anticipated AUM; If the review will not generate any AUM, please input £0 (e.g. GIA to ISA); For protection cases, please input the fee revenue the case will generate</t>
  </si>
  <si>
    <t>Currency</t>
  </si>
  <si>
    <t>Does (Client Name) have any long term vulnerabilities</t>
  </si>
  <si>
    <t>Does the client suffer from any permanent disability or do you have any other reason to believe the client is facing any long-term vulnerability?</t>
  </si>
  <si>
    <t>Marked as non-vulnerable in demo</t>
  </si>
  <si>
    <t>Does (Client Name) have any circumstantial vulnerabilities</t>
  </si>
  <si>
    <t>In the last 12 months has (Client Name):
Been widowed, divorcerd, or separated?
Suffered serious illness or accident?
Suffered a ssignificant change in circumstances i.e. loss job reduction in income
Suffered from Post Traumatic Stress Disorder?</t>
  </si>
  <si>
    <t>Vulnerability Details</t>
  </si>
  <si>
    <t>(Client Name) is long-term vulnerable</t>
  </si>
  <si>
    <t>(Client Name) long-term vulnerabilities</t>
  </si>
  <si>
    <t>Age/Hearing/Learning/Mental health/Gender reassignment/Health/Language/Vision/Mental capacity/Other</t>
  </si>
  <si>
    <t>(Client Name) is circumstantially vulnerable</t>
  </si>
  <si>
    <t>(Client Name) circumstantial vulnerabilities</t>
  </si>
  <si>
    <t>Bereavement/Financial difficulties/Divorce/Inexperience/Other event</t>
  </si>
  <si>
    <t>Recent circumstance changes</t>
  </si>
  <si>
    <t>Personal Details notes</t>
  </si>
  <si>
    <t>Current personal details notes</t>
  </si>
  <si>
    <t>No changes/String</t>
  </si>
  <si>
    <t>X previous personal details notes</t>
  </si>
  <si>
    <t>Default</t>
  </si>
  <si>
    <t>Income &amp; Expenditure notes (Soft notes)</t>
  </si>
  <si>
    <t>Current income &amp; expenditure notes</t>
  </si>
  <si>
    <t>X previous income &amp; expenditure notes</t>
  </si>
  <si>
    <t>Income &amp; Expenditure notes (Hard facts</t>
  </si>
  <si>
    <t>Owner</t>
  </si>
  <si>
    <t>Tosh</t>
  </si>
  <si>
    <t>Income Detail</t>
  </si>
  <si>
    <t>State Pension</t>
  </si>
  <si>
    <t>Bonus</t>
  </si>
  <si>
    <t>Amount</t>
  </si>
  <si>
    <t>Frequency</t>
  </si>
  <si>
    <t>Monthly</t>
  </si>
  <si>
    <t>Annual</t>
  </si>
  <si>
    <t>Income</t>
  </si>
  <si>
    <t>Self-employed income</t>
  </si>
  <si>
    <t>Income S</t>
  </si>
  <si>
    <t>Tax</t>
  </si>
  <si>
    <t>End Date</t>
  </si>
  <si>
    <t>N/A</t>
  </si>
  <si>
    <t>Protection notes (Soft notes)</t>
  </si>
  <si>
    <t>Current protection notes</t>
  </si>
  <si>
    <t>X previous protection notes</t>
  </si>
  <si>
    <t>Protection notes (Hard facts)</t>
  </si>
  <si>
    <t>Retirement Planning notes (Soft notes)</t>
  </si>
  <si>
    <t>Current retirement planning notes</t>
  </si>
  <si>
    <t>x previous retirement planning notes</t>
  </si>
  <si>
    <t>Retirement Planning notes (Hard facts)</t>
  </si>
  <si>
    <t>Gift description</t>
  </si>
  <si>
    <t>Gifter</t>
  </si>
  <si>
    <t>Recipient</t>
  </si>
  <si>
    <t>Gift value</t>
  </si>
  <si>
    <t>Current state</t>
  </si>
  <si>
    <t>Date of gift</t>
  </si>
  <si>
    <t>Taxation notes (Soft notes)</t>
  </si>
  <si>
    <t>Current taxation notes</t>
  </si>
  <si>
    <t>X previous taxation notes</t>
  </si>
  <si>
    <t>Taxation notes (Hard facts)</t>
  </si>
  <si>
    <t>Loans &amp; Liabilities notes (Soft notes)</t>
  </si>
  <si>
    <t>Current loans &amp; liabilities notes</t>
  </si>
  <si>
    <t>X previous loans &amp; liabilities notes</t>
  </si>
  <si>
    <t>Loans &amp; Liabilities notes (Hard facts)</t>
  </si>
  <si>
    <t>Saving &amp; Invesment notes (Soft notes)</t>
  </si>
  <si>
    <t>Current saving &amp; investment notes</t>
  </si>
  <si>
    <t>X previous saving &amp; investment notes</t>
  </si>
  <si>
    <t>Saving &amp; Invesment notes (Hard facts)</t>
  </si>
  <si>
    <t>Other Business notes (Soft notes)</t>
  </si>
  <si>
    <t>Current other business notes</t>
  </si>
  <si>
    <t>X previous other business notes</t>
  </si>
  <si>
    <t>Other Business notes (Hard facts)</t>
  </si>
  <si>
    <t>Estate Planning notes (Soft notes)</t>
  </si>
  <si>
    <t>Current estate planning notes</t>
  </si>
  <si>
    <t>X previous estate planning notes</t>
  </si>
  <si>
    <t>Estate Planning notes (Hard facts)</t>
  </si>
  <si>
    <t>Attitude to Risk notes (Soft notes)</t>
  </si>
  <si>
    <t>Current attitude to risk notes</t>
  </si>
  <si>
    <t>X previous attitude to risk notes</t>
  </si>
  <si>
    <t>Attitude to Risk notes (Hard facts)</t>
  </si>
  <si>
    <t>Goals</t>
  </si>
  <si>
    <t>*Hard Facts</t>
  </si>
  <si>
    <t>Progress</t>
  </si>
  <si>
    <t>Submitted/Partial</t>
  </si>
  <si>
    <t>Update or define a new goal</t>
  </si>
  <si>
    <t>Name</t>
  </si>
  <si>
    <t>Tosh want to build a pot of GBP 1,000,000 to pay for education</t>
  </si>
  <si>
    <t>1-Very high</t>
  </si>
  <si>
    <t>Target Income</t>
  </si>
  <si>
    <t>Deadline</t>
  </si>
  <si>
    <t>Behind target</t>
  </si>
  <si>
    <t>Created</t>
  </si>
  <si>
    <t>Create the goal</t>
  </si>
  <si>
    <t>Goal is for</t>
  </si>
  <si>
    <t>Enum (Name of Client)</t>
  </si>
  <si>
    <t>Goal description</t>
  </si>
  <si>
    <t>String (Goal description in client's own words)</t>
  </si>
  <si>
    <t>Client wants to:</t>
  </si>
  <si>
    <t>Generate an income/Build up a capital sum/Mitigate inheritance tax/ Tax Planning/Protect against death, disability, loss of income/Consolidate existing plans</t>
  </si>
  <si>
    <t>When selecting each option, there are additional options</t>
  </si>
  <si>
    <t>Set the amounts</t>
  </si>
  <si>
    <t>Target capital</t>
  </si>
  <si>
    <t>Currency £</t>
  </si>
  <si>
    <t>Percentage %</t>
  </si>
  <si>
    <t>Currency £ (automated)</t>
  </si>
  <si>
    <t>DD/MM/YYYY</t>
  </si>
  <si>
    <t>Additional Information</t>
  </si>
  <si>
    <t>Undefined/Behind target/On target/Ahead of target/Satisfied</t>
  </si>
  <si>
    <t>Undefined/Very low/Low/Medium/High/Very high</t>
  </si>
  <si>
    <t>Risk</t>
  </si>
  <si>
    <t>(Client Name) Risk Profile Summary</t>
  </si>
  <si>
    <t>Risk Tolerance Questionnaire. Result of the most recent RTQ to the creation of this review</t>
  </si>
  <si>
    <t>1-5</t>
  </si>
  <si>
    <t>Send a New Questionnaire or Resync Score</t>
  </si>
  <si>
    <t>Risk Discussion Required?</t>
  </si>
  <si>
    <t>Checkbox- No risk discussion</t>
  </si>
  <si>
    <t>Previous attitude to risk notes</t>
  </si>
  <si>
    <t>Requirement</t>
  </si>
  <si>
    <t>New Requirement</t>
  </si>
  <si>
    <t>Providing Recommendation</t>
  </si>
  <si>
    <t>Recommendation/Instruction</t>
  </si>
  <si>
    <t>Give advice vs Execution only</t>
  </si>
  <si>
    <t>For contact</t>
  </si>
  <si>
    <t>Client Name</t>
  </si>
  <si>
    <t>To</t>
  </si>
  <si>
    <t>Contribute/Withdraw/Transfer/Set Up New/Modify/Action</t>
  </si>
  <si>
    <t>To/From a plan</t>
  </si>
  <si>
    <t>Pension/Gia/Bond/ISA</t>
  </si>
  <si>
    <t>Goal</t>
  </si>
  <si>
    <t>Link to goal</t>
  </si>
  <si>
    <t>Urgency</t>
  </si>
  <si>
    <t>Normal/Tax year sensitive/Urgent</t>
  </si>
  <si>
    <t>Take from</t>
  </si>
  <si>
    <t>New cash contribution/options of existing products</t>
  </si>
  <si>
    <t>Take from (New cash contribution)</t>
  </si>
  <si>
    <t>Personal contribution: Personal Single Amount (Gross)</t>
  </si>
  <si>
    <t>Personal contribution: Which Initial Fees can we charge</t>
  </si>
  <si>
    <t>Enum (Currency £ Initial Fee)</t>
  </si>
  <si>
    <t>Employer contribution</t>
  </si>
  <si>
    <t>Employer contribution: Which Initial Fees can we charge</t>
  </si>
  <si>
    <t>Enum (Employer Initial Fee)</t>
  </si>
  <si>
    <t>Give to</t>
  </si>
  <si>
    <t>A New Plan/options to existing plans</t>
  </si>
  <si>
    <t>Give to (A New Plan)</t>
  </si>
  <si>
    <t>Select plan provider</t>
  </si>
  <si>
    <t>Select product type</t>
  </si>
  <si>
    <t>Investor Category</t>
  </si>
  <si>
    <t>Enum (Tier)</t>
  </si>
  <si>
    <t>Subplan: Select subplan provider</t>
  </si>
  <si>
    <t>Subplan: Mandate</t>
  </si>
  <si>
    <t>Risk level 1-5 based on Centralised proposition: Global Markets (1-5)/Income (1-5)/Managed (1-5)/Multi Asset Class (1-5)/Sustainable (1-5)</t>
  </si>
  <si>
    <t>Portfolio metrics. You pick investment style and risk level</t>
  </si>
  <si>
    <t>Set ongoing Fees: Product Fee</t>
  </si>
  <si>
    <t>DFM Fee (Enum)</t>
  </si>
  <si>
    <t>FP Fee (Enum)</t>
  </si>
  <si>
    <t>Product Fee (Enum)</t>
  </si>
  <si>
    <t>Personal Single Amount (Gross)</t>
  </si>
  <si>
    <t>Employer Single Amount (Gross)</t>
  </si>
  <si>
    <t>Finan</t>
  </si>
  <si>
    <t>Advice</t>
  </si>
  <si>
    <t>For contact + To + To/From a plan + Goal</t>
  </si>
  <si>
    <t>Mandate</t>
  </si>
  <si>
    <t>Normal</t>
  </si>
  <si>
    <t>Date Created</t>
  </si>
  <si>
    <t>Last Update</t>
  </si>
  <si>
    <t>Historical View</t>
  </si>
  <si>
    <t>Tasks</t>
  </si>
  <si>
    <t>Create task</t>
  </si>
  <si>
    <t>Which contact is this task about</t>
  </si>
  <si>
    <t>Urgency Reason</t>
  </si>
  <si>
    <t>Select task (back office): General Messages/ Information request/Personal or account details update/ Research request/Send information/Sundry</t>
  </si>
  <si>
    <t>Summary</t>
  </si>
  <si>
    <t>Submission</t>
  </si>
  <si>
    <t>Soft Submission (submit my handover notes without the requirements. I will come back and finalise them)/Final Submission (submit my handover notes with the requirements which are finalised)</t>
  </si>
  <si>
    <t>Golden Source</t>
  </si>
  <si>
    <t>Business Rule (For each client, extraction) - Only for New Data fields</t>
  </si>
  <si>
    <t>Ttitle Page</t>
  </si>
  <si>
    <t>Display as "Recommendation Report". Keep static as its title of document</t>
  </si>
  <si>
    <t>Display client full name(s) from FPQ or adviser greetings, introductions, or direct address in transcript. Look for patterns like "Good morning [Name]", "Thank you [Name] for", client self-introductions. For each client, extract Forename and Surname. Middlename from Forename can be ignored
Display as "Prepared for [Client Name(s)]"; display "Client Name(s) data field as full names of client(s), separated by "&amp;" if there are 2 or more clients</t>
  </si>
  <si>
    <t>Transcript/Default</t>
  </si>
  <si>
    <t>Extract Forename and Surname from transcript or FPQ. Display full name of the Adviser
Display as "By [Adviser Name]"</t>
  </si>
  <si>
    <t>Display current date "[dd-Month-YYYY]" (e.g., 20 November 2025)</t>
  </si>
  <si>
    <t xml:space="preserve">What is this document about? </t>
  </si>
  <si>
    <t>What is this document about you?</t>
  </si>
  <si>
    <t>Display "What is this document about you?" as the title of the subsection</t>
  </si>
  <si>
    <t>Objective</t>
  </si>
  <si>
    <t>Display "This document explains my advice and recommendations. Please make sure you read every section of the report. If you have any questions, please do not hesitate to contact me as detailed below."</t>
  </si>
  <si>
    <t>Adviser Mobile #</t>
  </si>
  <si>
    <r>
      <t xml:space="preserve">Display "My mobile phone number is: [Adviser Mobile #]"
</t>
    </r>
    <r>
      <rPr>
        <sz val="10"/>
        <color rgb="FFFF0000"/>
        <rFont val="Aptos Narrow"/>
        <family val="2"/>
        <scheme val="minor"/>
      </rPr>
      <t>Keep static display for now - uptill, the golden source is identified &amp; confirmed</t>
    </r>
  </si>
  <si>
    <t>Adviser Email</t>
  </si>
  <si>
    <r>
      <t xml:space="preserve">Display "My email address is: [Adviser Email]"
</t>
    </r>
    <r>
      <rPr>
        <sz val="10"/>
        <color rgb="FFFF0000"/>
        <rFont val="Aptos Narrow"/>
        <family val="2"/>
        <scheme val="minor"/>
      </rPr>
      <t>Keep static display for now - uptill, the golden source is identified &amp; confirmed</t>
    </r>
  </si>
  <si>
    <t>Display "My postal address is: 2nd Floor Office Suite, Kemble House, 36–39 Broad Street, Hereford HR4 9AR"</t>
  </si>
  <si>
    <t>More information about financial products and investing</t>
  </si>
  <si>
    <t>Display "For general information covering topics such as protection, pensions, investments, managing debt and insurance visit: 
www.moneyhelper.org.uk 
You can also visit our website: www.abacusadvisers.co.uk "</t>
  </si>
  <si>
    <t>Introduction</t>
  </si>
  <si>
    <t>Overview</t>
  </si>
  <si>
    <t>FPQ</t>
  </si>
  <si>
    <t>Combine all the extracted client objectives from transcript or FPQ into a single comma-separated objective phrase (e.g., ‘Investment, retirement and inheritance tax planning’)
Insert the phrase extracted in the variable field shown as "[Client Objectives]"
Display "This report has been prepared following our recent discussions to provide you with advice and recommendations with regards to your [Client Objectives]. Prior to making such recommendations, I have undertaken a suitability assessment to enable us to act in your best interest. 
The details of the suitability assessment are included in this report which will include specific product and investment recommendations and should be read in conjunction with Key Features documentation."</t>
  </si>
  <si>
    <t>What we know about you</t>
  </si>
  <si>
    <t>Display "This report has been compiled using the information given by you during our meetings together with that given by the providers of any existing plans. So that I can recommend suitable products or 
services for you, it is important for me to gather information that is up-to date, complete and accurate. I have taken steps to try and ensure that the information provided is consistent and accurate. However, you should also check carefully that the information detailed is correct and that you advise me of any errors or omissions as soon as possible.  
I would ask that you read this report carefully. If there is any part of the report that you do not fully understand, or if you feel as though the report does not accurately reflect your objectives, circumstances or attitude to risk, do please contact me to discuss."</t>
  </si>
  <si>
    <t>Display "This report should be read in conjunction with my Terms of Business and Financial Services Compensation Scheme documents."</t>
  </si>
  <si>
    <t>Assumptions</t>
  </si>
  <si>
    <t>Display "All the calculations and projections are provided for guidance purposes only and should not be viewed as a guarantee of a specific level or amount of any benefit, income or capital growth. They are based on the assumptions set out in this document and may vary if different assumptions are used."</t>
  </si>
  <si>
    <t>Section 1. Important information about you</t>
  </si>
  <si>
    <t>Static display "This section has information about you that I have used in preparing my advice, such as: 
• What you wish to achieve 
• Your personal and financial information 
• Your attitude to investment risk 
• The scope of my advice 
Please tell me if you think this information is wrong or incomplete because it will affect my advice"</t>
  </si>
  <si>
    <t>What do you want to achieve?</t>
  </si>
  <si>
    <t>Extract the statements that contribute to identifying the objective of advisory needed by the client from the notes section of the FPQ. If the extraction is very long, then summarize it in 2-3 paragraphs, if not then mostly relay the same information as in the notes but rephrase for better clarity and client ready presentation</t>
  </si>
  <si>
    <t>Your Circumstances</t>
  </si>
  <si>
    <t>Insert the extracted date in dd Month YYYY variable field below:
Display "We met on &lt;insert above variable here&gt; to discuss your investment planning needs. According to our records, 
your current personal and financial situation can be summarised as follows:"</t>
  </si>
  <si>
    <t>FPQ, Finplan &amp; IO API (to explore availability)</t>
  </si>
  <si>
    <t>Extract Age of both the clients</t>
  </si>
  <si>
    <t>Extract Marital Status of both the clients</t>
  </si>
  <si>
    <t>Place of living</t>
  </si>
  <si>
    <t>Generate a 1 liner summarizing the Age, Marital Status and Town name for the client(s)</t>
  </si>
  <si>
    <t>Generate a 1 liner summarizing the employment status and Occupation for the client(s)</t>
  </si>
  <si>
    <t>Generate a 1 liner summarizing the Net monthly income for the client(s)</t>
  </si>
  <si>
    <t>Highest rate of Tax</t>
  </si>
  <si>
    <t>Extract the Highest rate of tax for the client(s) from the FPQ (20%=Basic Rate; 40%=Higher Rate; 45%=Additional Rate)</t>
  </si>
  <si>
    <t>Generate a 1 liner summarizing the Highest rate of tax for the client(s)</t>
  </si>
  <si>
    <t>Assets &amp; liabilities</t>
  </si>
  <si>
    <t>Generate a 1 liner summarizing the Total Assets, the cash component within the Assets &amp; Total Liabilities for the client(s)</t>
  </si>
  <si>
    <t>State of health</t>
  </si>
  <si>
    <t>Generate a 1 liner summarizing the State of Health of the client(s)</t>
  </si>
  <si>
    <t>Attitude to Investment Risk - Your Risk Profile</t>
  </si>
  <si>
    <t>Client Name(s), Objective, Risk Score, Time Horizon Growth, Client Risk Category, Agreed Risk Category</t>
  </si>
  <si>
    <t>Attitude to Risk Questionnaire</t>
  </si>
  <si>
    <t>Display "Risk is the chance that your investment will not give you the results you want. Every investment carries an element of risk – the risk that performance may be worse than expected. Performance and risk are two sides of the same coin – the fluctuations experienced by share prices, commodity prices, interest rates, and exchange rates are the very things which provide investment performance, but they also provide the risk. Inflation, and its constant unrelenting erosion of asset values, is another risk factor.
Another consideration is the effect that investment losses could have on your lifestyle. So, if you do not have an emergency cash fund available, or if your standard of living will be significantly affected by investment losses, then the amount of investment risk you can tolerate will be reduced.
As your investment funds are not expected to be touched for at least 10 years (quite possibly longer) a fall in value will not affect your current standard of living and you would be able to leave them invested to benefit from any potential recovery. You appreciate that your anticipated investment timeframe can allow for fluctuations in the markets and any significant volatility could be tolerated in the short term. You live well within your means based on your monthly pension income and you are not reliant on your investments to maintain your lifestyle. You also have no specific plan or need for your investment funds. 
At our meeting, you completed our risk questionnaire, which helped you to identify the level of risk that is appropriate for you as an individual and for this particular goal, the result of this questionnaire produced an identical outcome for each of you, and is shown below:"
Generate a table with the following 6 columns - "Client Name(s), Objective, Risk Score, Timeframe for Investment, Risk Category as per Questionnaire, Agreed Risk Category" by inputting the extracted data from the ATR</t>
  </si>
  <si>
    <t>Risk Category Definition</t>
  </si>
  <si>
    <t>Extract the "DEFINITIONS &amp; BROAD ASSET ALLOCATION MODELS 
OF RISK CATEGORIES 1  10" for all risk categories</t>
  </si>
  <si>
    <t>Display the risk category definition along with Allocation model graph for each client for the agreed risk category
Display "If you disagree with the risk profile definition above please contact me, as this will affect my 
underlying investment fund recommendations. For a list of all risk category definitions please refer 
to the attached appendix"</t>
  </si>
  <si>
    <t>Ethical Preferences</t>
  </si>
  <si>
    <t>Summarize the ethical preferences of the client(s) in 1-2  lines</t>
  </si>
  <si>
    <t xml:space="preserve">Your Existing Provisions </t>
  </si>
  <si>
    <t>Accout Holder Name, Product Type - Existing Product, Provider Name - Existing Product, Fund Value</t>
  </si>
  <si>
    <t>Extract Last Valuations from Existing Policies section in the FPQ</t>
  </si>
  <si>
    <t>Display the information in 4 column table including Columns as "Account Holder, Product Type, Provider, Fund Value"</t>
  </si>
  <si>
    <t xml:space="preserve">Do these investments match your attitude to risk? </t>
  </si>
  <si>
    <t>?</t>
  </si>
  <si>
    <t>Can existing provision be used towards achieving your objectives?</t>
  </si>
  <si>
    <t>What is the scope of my advice?</t>
  </si>
  <si>
    <t>Extract from the FPQ notes the statements that define the scope of advice requested by the client. Rephrase them into 3 to 4 client-ready bullet points (one idea per bullet). Keep the scope statements generic/open-ended and not include specific details like exact actions. When rephrasing, frame each statement as a client request, using introductory phrases like 'You wish to review...' or 'You wanted advice on.... Do not include background facts (risk score, household income detail, tax consequences) unless they directly define scope of the advice. Add "You wish to receive on going monitoring and review of your affairs from a regulated financial adviser" as the last point.</t>
  </si>
  <si>
    <t>Source of Funds and Affordability</t>
  </si>
  <si>
    <t>FPQ &amp; Cashflow Forecast</t>
  </si>
  <si>
    <t>New Field (Y/N)</t>
  </si>
  <si>
    <t>Field Description</t>
  </si>
  <si>
    <t>Extracted Data Needed (Y/N)</t>
  </si>
  <si>
    <t>Documents extraction source(s)</t>
  </si>
  <si>
    <t>Y</t>
  </si>
  <si>
    <t>Conversation Transcript</t>
  </si>
  <si>
    <t>Extract client full name(s) from adviser greetings, introductions, or direct address in transcript. Look for patterns like "Good morning [Name]", "Thank you [Name] for", client self-introductions</t>
  </si>
  <si>
    <t>Display full names of client(s), separated by "&amp;" if there are 2 or more clients</t>
  </si>
  <si>
    <t xml:space="preserve">Extract adviser name from transcript introduction or default to "xxx"	</t>
  </si>
  <si>
    <t>Display full name of the Adviser</t>
  </si>
  <si>
    <t>N</t>
  </si>
  <si>
    <t>Extract date from transcript metadata, or look for references like "today is", "our meeting on [date]", date stamps in transcript</t>
  </si>
  <si>
    <t>Display "Meeting Date: [dd-Month-YYYY format]" (e.g., Meeting Date: 20 November 2025)</t>
  </si>
  <si>
    <t>Display "Document Generation Date: [dd-Month-YYYY]" (e.g., Document Generation Date: 20 November 2025)</t>
  </si>
  <si>
    <t>Concise narrative summary of the meeting, highlighting who attended, what was discussed, key concerns/objectives, and agreed next steps.</t>
  </si>
  <si>
    <t>Analyze the entire transcript to extract: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internal process notes (e.g., back‑office tasks, system errors) that are not relevant to the client‑facing narrative</t>
  </si>
  <si>
    <t>Display as opening paragraph from adviser's perspective. Format: "[Client name(s)] discussed [main topics]. [Key concern(s)]. [Primary objective(s) and key decision(s) or next step(s)]."</t>
  </si>
  <si>
    <t>Section Header</t>
  </si>
  <si>
    <t>Display "1. Client Demographics" as section heading</t>
  </si>
  <si>
    <t>If found display "Client ID: [X]"; If not found display "Client ID: NA"</t>
  </si>
  <si>
    <t>Always display as: "Full Name: [X]"</t>
  </si>
  <si>
    <t>DOB</t>
  </si>
  <si>
    <t>If found display: "Date of Birth: [dd-Month-YYYY]"; if not found display: "Date of Birth: NA"</t>
  </si>
  <si>
    <t>If found display "Age: [X]"; If not found display: "Age: NA"</t>
  </si>
  <si>
    <t>If found display "Employment Status: [X]"; If not found display "Employment Status: NA"</t>
  </si>
  <si>
    <t>If found display "Intended Retirement Age: [X]"; If not found display "Intended Retirement Age: NA"</t>
  </si>
  <si>
    <t>If found display "Occupation: [X]"; If not found display "Occupation: NA"</t>
  </si>
  <si>
    <t>If found display: "Marital Status: [Single, Married/Divorced/Widowed/Other]"
If not found display: "Marital Status: NA"</t>
  </si>
  <si>
    <t>If found display "Family Members: [X]"; If not found display "Family Members: NA"</t>
  </si>
  <si>
    <t>If found display "Dependents: [X]"; If not found display "Dependents: NA"</t>
  </si>
  <si>
    <t>If found display "Country of Residence: [X]"; If not found display "Country of Residence: NA"</t>
  </si>
  <si>
    <t>If found display "UK Resident For Tax: [Yes/No]"; If not found display "UK Resident For Tax: NA"</t>
  </si>
  <si>
    <t>If found display "UK Domicile: [Yes/No]"; If not found display "UK Domicile: NA"</t>
  </si>
  <si>
    <t>If found display "Accommodation Type: [Owned/Rent]"; If not found display "Accommodation Type: NA"</t>
  </si>
  <si>
    <t>If found display "Will: [Yes/No]"; If not found display "Will: NA"</t>
  </si>
  <si>
    <t>If found display "Wills Up to Date: [Yes/No]"; If not found display "Wills Up to Date: NA"</t>
  </si>
  <si>
    <t>If found display "Income Required in Retirement: [Amount, Code]"; If not found display "Income Required in Retirement: NA"</t>
  </si>
  <si>
    <t>If found display "State of Health: [X]"; If not found display "State of Health: NA"</t>
  </si>
  <si>
    <t>If found display "Vulnerable Client: [Yes/No]"; If not found display "Is Vulnerable Client: NA"</t>
  </si>
  <si>
    <t>If found display "Director: [Yes/No]"; If not found display "Director: NA"</t>
  </si>
  <si>
    <t>If found display "Address: [X]"; if not found display "Address: NA"</t>
  </si>
  <si>
    <t>If found display "Vulnerable Indicator: [X]"; If not found display "Vulnerable Indicator: NA"</t>
  </si>
  <si>
    <t>Display "2. Client Financial Profile" as section heading</t>
  </si>
  <si>
    <t>If found, display "Total Net Monthly Income: [Amount, Code]"; if not found, display "Total Net Monthly Income: NA"</t>
  </si>
  <si>
    <t>If found, display "Total Monthly Expenditure: [Amount, Code]"; if not found, display "Total Monthly Expenditure: NA"</t>
  </si>
  <si>
    <t>If found, display "Mortgages &amp; Rent: [Amount, Code]"; if not found, display "Mortgages &amp; Rent: NA"</t>
  </si>
  <si>
    <t>If found, display "Loans &amp; Credit: [Amount, Code]"; if not found, display "Loans &amp; Credit: NA"</t>
  </si>
  <si>
    <t>If found, display "Pensions, Savings &amp; Insurance: [Amount, Code]"; if not found, display "Pensions, Savings &amp; Insurance: NA"</t>
  </si>
  <si>
    <t>If found, display "Household &amp; Utilities: [Amount, Code]"; if not found, display "Household &amp; Utilities: NA"</t>
  </si>
  <si>
    <t>If found, display "Travel &amp; Transport: [Amount, Code]"; if not found, display "Travel &amp; Transport: NA"</t>
  </si>
  <si>
    <t>If found, display "Discretionary &amp; Leisure: [Amount, Code]"; if not found, display "Discretionary &amp; Leisure: NA"</t>
  </si>
  <si>
    <t>If found, display "Child Care: [Amount, Code]"; if not found, display "Child Care: NA"</t>
  </si>
  <si>
    <t>If found, display "All household expenditure: [Amount, Code]"; if not found, display "All household expenditure: NA"</t>
  </si>
  <si>
    <t xml:space="preserve"> Monthly Surplus Income</t>
  </si>
  <si>
    <r>
      <t>If found, display "Monthly Surplus Income: [Amount, Code]"; if not found, display "Monthly Surplus Income: NA</t>
    </r>
    <r>
      <rPr>
        <b/>
        <sz val="10"/>
        <color theme="1"/>
        <rFont val="Aptos Display"/>
        <family val="2"/>
        <scheme val="major"/>
      </rPr>
      <t>"</t>
    </r>
  </si>
  <si>
    <t>If found, display "Total Assets: [X]"; if not found, display "Total Assets: NA"</t>
  </si>
  <si>
    <t>If found, display "Home: [Amount, Code]"; if not found, display "Home: NA"</t>
  </si>
  <si>
    <t>If found, display "Other Property: [Amount, Code]"; if not found, display "Other Property: NA"</t>
  </si>
  <si>
    <t>If found, display "Cash: [Amount, Code]"; if not found, display "Cash: NA"</t>
  </si>
  <si>
    <t>If found, display "Investment Bonds: [Amount, Code]"; if not found, display "Investment Bonds: NA"</t>
  </si>
  <si>
    <t>If found, display "Pension Funds: [Amount, Code]"; if not found, display "Pension Funds: NA"</t>
  </si>
  <si>
    <t>If found, display "NISAs: [Amount, Code]"; if not found, display "NISAs: NA"</t>
  </si>
  <si>
    <t>Unit /InvestmentTrustsOEICS</t>
  </si>
  <si>
    <t>If found, display "Unit/Investment Trusts/OEICS: [Amount, Code]"; if not found, display "Unit/Investment Trusts/OEICS: NA"</t>
  </si>
  <si>
    <t>If found, display "Shares: [Amount, Code]"; if not found, display "Shares: NA"</t>
  </si>
  <si>
    <t>If found, display "Business Assets: [Amount, Code]"; if not found, display "Business Assets: NA"</t>
  </si>
  <si>
    <t>If found, display "All Other Assets: [Amount, Code]"; if not found, display "All Other Assets: NA"</t>
  </si>
  <si>
    <t>If found, display "Total Liabilities: [Amount, Code]"; if not found, display "Total Liabilities: NA"</t>
  </si>
  <si>
    <t xml:space="preserve">Mortgage -  (main residence) </t>
  </si>
  <si>
    <t>If found, display "Mortgage (main residence): [Amount, Code]"; if not found, display "Mortgage (main residence): NA"</t>
  </si>
  <si>
    <t>If found, display "Mortgage (other property): [Amount, Code]"; if not found, display "Mortgage (other property): NA"</t>
  </si>
  <si>
    <t>If found, display "Credit Cards: [Amount, Code]"; if not found, display "Credit Cards: NA"</t>
  </si>
  <si>
    <t>If found, display "Overdraft: [Amount, Code]"; if not found, display "Overdraft: NA"</t>
  </si>
  <si>
    <t>Loans (Education/Vehicle) -  Car finance &amp;  Loans / HP</t>
  </si>
  <si>
    <t>If found, display "Loans (Education/Vehicle/Car finance): [Amount Code]"; if not found, display "Loans (Education/Vehicle/Car finance): NA"</t>
  </si>
  <si>
    <t>Net Worth</t>
  </si>
  <si>
    <t>If found, display "Net worth: [Amount, Code]"; if not found, display "Net worth: NA"</t>
  </si>
  <si>
    <t>If found, display "Client Objectives: [option1]; [option2]..." (all selected); If no match, display "Client Objectives: [Other]"</t>
  </si>
  <si>
    <t>If found display "Investment Objectives Summary: [X]"; if not found display "Investment Objectives Summary: NA"</t>
  </si>
  <si>
    <t>If found, display "Liquidity Needs: [Yes/No]"; if not found, display "Liquidity Needs: NA"</t>
  </si>
  <si>
    <t>If found, display "Liquidity Need Amount: [Amount, Code]"; if not found, display "Liquidity Need Amount: NA"</t>
  </si>
  <si>
    <t>If found display "Liquidity Need Purpose: [X]"; if not found display "Liquidity Need Purpose: NA"</t>
  </si>
  <si>
    <t>Liquidity Time Horizon</t>
  </si>
  <si>
    <t>If found display "Liquidity Time Horizon: [X]"; if not found display "Liquidity time horizon: NA"</t>
  </si>
  <si>
    <t>If found display "Notes: [X]"; if not found display "Notes: NA"</t>
  </si>
  <si>
    <t>The short title or label the client gives to their financial objective</t>
  </si>
  <si>
    <t>For each client goal identified in "Goals &amp; Purpose" data field (Goal 1, Goal 2,...) create a corresponding Goal [N]  object
Derive a short Goal Name for Goal [N] as follows, in order of precedence: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
-If the text is a negative/inverse framing (e.g., “do not want my money locked up long term”), map to a concise label reflecting the core idea (e.g., “Access / Liquidity”, “No Long Lock‑In”).
-If no category can be confidently mapped, take a concise phrase from the original goal sentence (first clause up to ~5–7 words) that best describes the end‑use.</t>
  </si>
  <si>
    <t>Always display "Goal [N] - [Goal Name]"</t>
  </si>
  <si>
    <t>A more detailed sentence explaining the specifics or context of the goal</t>
  </si>
  <si>
    <t>For each client goal already identified from “Goals &amp; Purpose” data field/ “Investment Amount for Goal” data field / “Time Horizon for Goal” data field, extract the full sentence (or longest, most specific clause) that describes what the client wants to achieve with that goal. 
- Retain full phrasing as provided (e.g., “to build a retirement fund that covers living expenses after age 65”)
- Exclude vague or non‑specific text (e.g., “just saving for later”) and keep original wording</t>
  </si>
  <si>
    <t>If valid description is found display "Goal [N] Description: [X]"; if not found display "Goal [N] Description: NA"</t>
  </si>
  <si>
    <t xml:space="preserve">The client's ranking of the goal's importance [High, Medium, Low], often numerically or with a descriptive term </t>
  </si>
  <si>
    <t>For each client Goal [N]:
- Extract the client’s stated ranking of the goal’s importance or goal-related text for priority wording or numeric ranking
- Only allow values from the enumeration set: [High, Medium, Low].
- Normalize synonyms or numeric rankings into one of the three allowed values (“Top priority,” “Critical,” “1”: High; “Secondary,” “Moderate,” “2”: Medium; “Least important,” “Low priority,” “3”: Low)
- Exclude vague or non‑specific statements (e.g., “all goals are important” without ranking).</t>
  </si>
  <si>
    <t>If valid description is found display "Goal [N] Priority Level: [High/Medium/Low]"; if not found display "Goal [N] Priority Level: NA"</t>
  </si>
  <si>
    <t>The specific individual(s) responsible for or assigned to this goal within the financial plan</t>
  </si>
  <si>
    <t>For each client Goal [N]: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</si>
  <si>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If a valid owner is found display "Goal [N] Owner: [X]"; if there are two or more owners display "Goal [N] Owner: [Owner 1] &amp; [Owner 2] [&amp; Owner 3…]; if not found display "Goal [N] Owner: NA"</t>
  </si>
  <si>
    <t>Time Horizon for Goal</t>
  </si>
  <si>
    <t>For each client's goal:
- Extract only statements where the client (or adviser summarizing the client) specifies the expected timeframe for achieving or funding that specific goal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t>
  </si>
  <si>
    <t>If found display "Time Horizon for Goal [N]: [X]"; if not found display "Time horizon for Goal [N]: NA"</t>
  </si>
  <si>
    <t>The date or timeframe when the client intends to begin saving or investing for this goal</t>
  </si>
  <si>
    <t>For each client Goal [N]: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</si>
  <si>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If a valid start date is found display "Goal [N] Start Date: [DD/MM/YYYY]"; If not found display "Goal [N] Start Date: NA"</t>
  </si>
  <si>
    <t>The point in time when the client needs the goal achieved. Can be a specific date, a duration from now, or a target age</t>
  </si>
  <si>
    <t>For each client Goal [N]: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</si>
  <si>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If a valid horizon is found as a date, display "Goal [N] Target Horizon: [DD/MM/YYYY]"; 
If a valid horizon is found as a duration, display "Goal [N] Target Horizon: Duration [Int] [Unit]"; If a valid horizon is found as a target age, display "Goal [N] Target Horizon: Age [Int]"; If no valid horizon is found, display "Goal [N] Target Horizon: NA"</t>
  </si>
  <si>
    <t>How much the 'End Date' can be shifted. Is the date firm (inflexible) or can it be postponed (flexible)</t>
  </si>
  <si>
    <t>For each client Goal [N]: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</si>
  <si>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If a valid rule is found display "Goal [N] Flexibility in Timing: [Inflexible/Flexible/Somewhat Flexible]; if not found display "Goal [N] Flexibility in Timing: NA"</t>
  </si>
  <si>
    <t>The total final monetary amount the client aims to accumulate for the goal</t>
  </si>
  <si>
    <t>For each client Goal [N]::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</si>
  <si>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If a valid amount (and currency) is found display "Goal [N] Target: [X], [Code]" (e.g., "Goal 1 Target: [60000, GBP]"); if not found display "Goal [N] Target Corpus: NA"</t>
  </si>
  <si>
    <t>Any current investments towards the goal</t>
  </si>
  <si>
    <t>The value of existing savings or investments already allocated to this specific goal</t>
  </si>
  <si>
    <t>For each client Goal [N]:
Extract the value of any existing savings or investments that the client states are already allocated to that specific goal (e.g., “I already have £5,000 put aside for this”); consider "Investment Amount for Goal" data field, "Investment Portfolio/Product for the Goal" data field, "Do you wish to make new contributions or review existing plans?" data field
-Select only statements that clearly refer to money already saved/invested for this goal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</si>
  <si>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If a valid amount (and currency) is found display "Goal [N] Current Investments: [Amount, Code]" (e.g., "Goal 1 Current Investments: [5000, GBP]"; if multiple existing pots are clearly for the same goal, sum them. If not found display "Goal [N] Current Investments: NA".</t>
  </si>
  <si>
    <t>The client's preferred method of funding this specific goal, either through regular contributions (periodic) or single transfers (lumpsum)</t>
  </si>
  <si>
    <t>For each client Goal [N]: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</si>
  <si>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If a valid value is found display "Goal [N] Investment Contribution Mode: [Periodic/Lumpsum]";
If not found display "Goal [N] Investment Contribution Mode: NA"</t>
  </si>
  <si>
    <t>Identify wheter it is a new contribution, review existing plans or both</t>
  </si>
  <si>
    <t>For each client, extract enum for explicit intent regarding contributions and plan review and map on [New Contribution, Review Existing, Both]</t>
  </si>
  <si>
    <t>If found display "New Contribution / Review Existing: [New Contribution/Review Existing/Both]". If not found display "New Contribution / Review Existing: NA"</t>
  </si>
  <si>
    <t>The recurring amount (usually monthly) that the client can invest towards this goal</t>
  </si>
  <si>
    <t>For each client Goal [N] where "Investment Contribution Mode" = Periodic: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t>
  </si>
  <si>
    <t>If a valid amount (and currency) is found display "Goal [N] Available Monthly Surplus: [Amount, Code]" (e.g., "Goal 1 Available Monthly Surplus: 250, GBP"); If not found or "Investment Contribution Mode" = Lumpsum, display "Goal [N] Available Monthly Surplus: NA"</t>
  </si>
  <si>
    <t>A one-time, non-recurring amount the client has available to invest right now</t>
  </si>
  <si>
    <t>For each client:
-Extract any one‑time, non‑recurring amount the client states they have available to invest immediately for this goal (e.g., “I can put £10,000 in now”) considering "Investment Amount for Goal" data field, "Investment Portfolio/Product for the Goal" data field, "Do you wish to make new contributions or review existing plans?" data field
Candidate phrases typically look like “I can put £10,000 in now”, “we have £20k free to invest as a lump sum”, “there’s £5,000 spare in cash we can invest immediately”.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</si>
  <si>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If a valid amount (and currency) is found display "Available Lumpsum Amount: [Amount, Code]" (e.g., "Available Lumpsum Amount: 10000, GBP"); if not found display "Available Lumpsum Amount: NA"</t>
  </si>
  <si>
    <t>The total count of distinct financial goals the client wishes to plan for</t>
  </si>
  <si>
    <t>For each client:
-Identify all distinct financial goals explicitly mentioned in the transcript or planning documents (e.g., “university fund”, “retirement income”, “new house deposit”), consider "Goals &amp; Purpose" data field, "Goal Name" data field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</si>
  <si>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If at least one valid goal is identified, display "Total # of Goals: [X]" where [X] is the numeric count; If no valid goals are identified, display "Total # of Goals: 0"</t>
  </si>
  <si>
    <t>Display "3. Taxation" as section heading</t>
  </si>
  <si>
    <t xml:space="preserve">If the advise is given on some calculation with chargeable gains or encashment, then ensure that the calculations is correct. Release calculations are validated to ensure that if there is some tax laibility it is calculated correctly. </t>
  </si>
  <si>
    <t>If found display "Taxation on Withdrawal: [X]"; if not found display "Taxation on Withdrawal: NA"</t>
  </si>
  <si>
    <t>If found display "Taxation Overview: [X]"; if not found display "Taxation Overview: NA"</t>
  </si>
  <si>
    <t>If found display "Tax-Planning Strategies: [X]"; if not found display "Tax-Planning Strategies: NA"</t>
  </si>
  <si>
    <t>If found display "Client Tax Preferences: [X]"; if not found display "Client Tax Preferences: NA"</t>
  </si>
  <si>
    <t>Display "2. Existing Products" as section heading</t>
  </si>
  <si>
    <t>For each product: If found display "Product Type: [X]"; if not, "Product Type: NA"</t>
  </si>
  <si>
    <t>For each product: If specific, display "Fund Name: [X]"; If only generic, "Fund Name: NA"; If missing, "Fund Name: NA"</t>
  </si>
  <si>
    <t>For each product: If found display "Provider Name: [X]"; if not available display, "Provider Name: NA"</t>
  </si>
  <si>
    <t>Display "5. Cashflow Modelling" as section heading</t>
  </si>
  <si>
    <t>If found display "Cashflow Scenarios &amp; Assumptions: [X]"; if not found display "Cashflow Scenarios &amp; Assumptions: NA"</t>
  </si>
  <si>
    <t>If found display "Outcomes and Client Decisions: [X]"; if not found display "Outcomes and Client Decisions: NA"</t>
  </si>
  <si>
    <t>Display "6. Estate Planning" as section heading</t>
  </si>
  <si>
    <t>If found display "Estate Arrangements: [X]"; if not found display "Estate Arrangements: NA"</t>
  </si>
  <si>
    <t>Referrals/Adviser Notes</t>
  </si>
  <si>
    <t>If found display "Referrals/Adviser Notes: [X]"; if not found display "Referrals/Adviser Notes: NA"</t>
  </si>
  <si>
    <t>Display "7. Client Risk Assessment" as section heading</t>
  </si>
  <si>
    <t>If found display "Time Horizon - Growth: [X]"; if not found display "Time Horizon - Growth: NA"</t>
  </si>
  <si>
    <t>If found display "Time Horizon - Income: [X]"; if not found display "Time Horizon - Income: NA"</t>
  </si>
  <si>
    <t>If found display "Access Investment-Growth: [X]"; if not found display "Access Investment-Growth: NA"</t>
  </si>
  <si>
    <t>If found display "Access Investment-Income: [X]"; if not found display "Access Investment-Income: NA"</t>
  </si>
  <si>
    <t>If found display "Risk Score: [X]"; if not found display "Risk Score: NA"</t>
  </si>
  <si>
    <t>If found display "Client Risk Category: [X]"; if not found display "Client Risk Category: NA"</t>
  </si>
  <si>
    <t>If found display "Agreed Client Risk Category: [X]"; if not, "Agreed Client Risk Category: NA"</t>
  </si>
  <si>
    <t>If found display "Capacity For Loss: [X]"; if not found or not assessed, "Capacity For Loss: NA"</t>
  </si>
  <si>
    <t>If found display "Knowledge &amp; Experience: [X]"; if not found display "Knowledge &amp; Experience: NA"</t>
  </si>
  <si>
    <t>If found display "Ethical Preference &amp; Other Considerations: [X]"; if not found, "Ethical Preference &amp; Other Considerations: NA"</t>
  </si>
  <si>
    <t>If found display "ATR response consistency: [X]"; if not found or not inconsistent, "ATR response consistency: NA"</t>
  </si>
  <si>
    <t>If found display "Client Risk Category - Notes: [X]"; if not found display "Client Risk Category - Notes: NA"</t>
  </si>
  <si>
    <t>If found display "Risk Capacity: [X]"; if not found display "Risk Capacity: NA"</t>
  </si>
  <si>
    <t>8. Next Steps</t>
  </si>
  <si>
    <t>Agreed follow‑up actions, responsibilities and timeframes after the meeting.</t>
  </si>
  <si>
    <t>For each client:
-Extract explicit forward actions (e.g., Adviser tasks, client tasks, planned meetings or checkpoints)
-Exclude generic statements with no concrete action (“keep under review”) unless paired with a clear timeframe or trigger.
-Keep wording concise; each distinct action as a separate bullet, ideally including owner and timing where stated.</t>
  </si>
  <si>
    <t>If found display "Next Steps: [Action 1], [Action 2],…" ; if no clear steps display as "Next Steps: NA"</t>
  </si>
  <si>
    <t>Primary purpose of the client-advisor interaction</t>
  </si>
  <si>
    <t>Extract the type or purpose of the meeting
- Map to one of the options: "Initial Consultation" (e.g., initial call, first meeting, onboarding meeting); "Annual Review" (e.g., yearly review, annual check-in); Mid-Term Review (e.g., six-month review, interim review); "Other" (if nothing fits or is unclear)</t>
  </si>
  <si>
    <t>Display as [Initial Consultation/Annual Review/Mid-Term Review] [Month-YYYY]</t>
  </si>
  <si>
    <t xml:space="preserve">Display full names of client(s), separated by "&amp;" if there are 2 or more clients from </t>
  </si>
  <si>
    <t>Full name of the adviser</t>
  </si>
  <si>
    <t>FCA reference number</t>
  </si>
  <si>
    <t>Office address</t>
  </si>
  <si>
    <t>Office contact details</t>
  </si>
  <si>
    <t>Date of the meeting</t>
  </si>
  <si>
    <t>Financial Planning Questionnaire, Conversation Transcript</t>
  </si>
  <si>
    <t xml:space="preserve">Display "Meeting Date: [dd-Month-YYYY format]" (e.g., Meeting Date: 20 November 2025) </t>
  </si>
  <si>
    <t>Date document was generated</t>
  </si>
  <si>
    <t>Client Demographics</t>
  </si>
  <si>
    <t>Section header for Client Demographics</t>
  </si>
  <si>
    <t>WM Advice -&gt; Clients -&gt; Client Demographics</t>
  </si>
  <si>
    <t>Additional personal context about the client beyond the structured demographic fields (e.g., family situation highlights, lifestyle, work pattern, major upcoming life events).</t>
  </si>
  <si>
    <t xml:space="preserve">For each client:
-Extract short narrative statements that add context to demographics (e.g., “recently divorced”, “works part‑time and travels frequently”, “expecting first child next year”).
-Exclude purely financial data (income amounts, product details) already captured in other fields.
-Keep wording concise; split into separate bullets when they describe different aspects.
</t>
  </si>
  <si>
    <t>Always display as: "Personal Details: [X]" in bullet-style items</t>
  </si>
  <si>
    <t>Client Financial Profile</t>
  </si>
  <si>
    <t>Section header for Client Financial Profile</t>
  </si>
  <si>
    <t>WM Advice -&gt; Clients -&gt; Client Financial Profile</t>
  </si>
  <si>
    <r>
      <t>If found, display "Monthly Surplus Income: [Amount, Code]"; if not found, display "Monthly Surplus Income: NA</t>
    </r>
    <r>
      <rPr>
        <b/>
        <sz val="11"/>
        <color theme="1"/>
        <rFont val="Aptos Narrow"/>
        <family val="2"/>
        <scheme val="minor"/>
      </rPr>
      <t>"</t>
    </r>
  </si>
  <si>
    <t>Contextual information to the client’s income sources and spending pattern beyond the numeric fields (e.g., bonuses, expected changes, irregular costs).</t>
  </si>
  <si>
    <t xml:space="preserve">For each client:
-Extract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-Exclude pure numbers already stored in additional Data Fields from the sub-section.
-Keep wording concise; split into separate bullets when they describe different aspects.
</t>
  </si>
  <si>
    <t>Always display as: "Income &amp; Expenses: [X]" in bullet-style items</t>
  </si>
  <si>
    <t>Contextual information about the client’s assets and liabilities that is not captured by the numeric fields (e.g., ownership structure, restrictions, upcoming changes, special terms).</t>
  </si>
  <si>
    <t xml:space="preserve">For each client:
-Extract short 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-Exclude pure numbers already stored in additional Data Fields from the sub-section.
-Keep wording concise; split into separate bullets when they describe different aspects.
</t>
  </si>
  <si>
    <t>Always display as: "Assets &amp; Liabilities: [X]" in bullet-style items</t>
  </si>
  <si>
    <t>Contextual information that provide qualitative context around the client’s goals and objectives beyond the structured goal fields (priority, amounts, timing, etc.).</t>
  </si>
  <si>
    <t xml:space="preserve">For each client:
-Extract short narrative statements around Goals &amp; Objectives, why goals matter, how the client feels about them (e.g., “Most important goal is helping daughter onto property ladder”, “Client is very anxious about retirement adequacy", “Open to delaying holiday home if markets perform poorly”)
-Exclude pure numbers already stored in additional Data Fields from the sub-section.
-Keep wording concise; split into separate bullets when they describe different aspects.
</t>
  </si>
  <si>
    <t>Always display as: "Goals &amp; Objectives: [X]" in bullet-style items</t>
  </si>
  <si>
    <t>Section header for Taxation</t>
  </si>
  <si>
    <t>WM Advice -&gt; Clients -&gt; Taxation</t>
  </si>
  <si>
    <t>Taxation Details</t>
  </si>
  <si>
    <t>Contextual information that add qualitative context around the client’s tax position and tax‑planning approach beyond the structured tax fields (rates, residency flags, product‑level tax data).</t>
  </si>
  <si>
    <t xml:space="preserve">For each client:
-Extract short narrative statements about tax situation and preferences
-Exclude pure numbers already stored in additional Data Fields from the sub-section.
-Keep wording concise; split into separate bullets when they describe different aspects.
</t>
  </si>
  <si>
    <t>Always display as: "Taxation: [X]" in bullet-style items</t>
  </si>
  <si>
    <t>Existing Products</t>
  </si>
  <si>
    <t>Section header for Existing Products</t>
  </si>
  <si>
    <t>WM Advice -&gt; Products -&gt; Existing Products</t>
  </si>
  <si>
    <t>Contextual information that provide qualitative context around the client’s existing financial products and plans beyond the structured fields (product type, provider, values, tax treatment).</t>
  </si>
  <si>
    <t xml:space="preserve">For each client:
-Extract short narrative statements about current products (e.g., pensions, ISAs, bonds, policies)
-Exclude pure numbers already stored in additional Data Fields from the sub-section.
-Keep wording concise; split into separate bullets when they describe different aspects.
</t>
  </si>
  <si>
    <t>Always display as: "Existing Products: [X]" in bullet-style items</t>
  </si>
  <si>
    <t>Cashflow Modelling</t>
  </si>
  <si>
    <t>Section header for Cashflow Modelling</t>
  </si>
  <si>
    <t>WM Advice -&gt; Clients -&gt; Cashflow Modelling</t>
  </si>
  <si>
    <t>Contextual information that provide qualitative context around the cashflow models, assumptions and client reactions, beyond the numeric projections.</t>
  </si>
  <si>
    <t xml:space="preserve">For each client:
-Extract short narrative statements about cashflow projections and scenarios
-Exclude pure numbers already stored in additional Data Fields from the sub-section.
-Keep wording concise; split into separate bullets when they describe different aspects.
</t>
  </si>
  <si>
    <t>Always display as: "Cashflow Modelling: [X]" in bullet-style items</t>
  </si>
  <si>
    <t>Section header for Estate Planning</t>
  </si>
  <si>
    <t>WM Advice -&gt; Clients -&gt; Estate Planning</t>
  </si>
  <si>
    <t>Estate Planning Details</t>
  </si>
  <si>
    <t>Contextual information that add qualitative context around the client’s estate planning wishes and arrangements beyond structured fields (will in place, IHT exposure, trusts, etc.).</t>
  </si>
  <si>
    <t xml:space="preserve">For each client:
-Extract short narrative statements about estate intentions and concerns
-Exclude pure numbers already stored in additional Data Fields from the sub-section.
-Keep wording concise; split into separate bullets when they describe different aspects.
</t>
  </si>
  <si>
    <t>Always display as: "Estate Planning: [X]" in bullet-style items</t>
  </si>
  <si>
    <t>Client Risk Assessment</t>
  </si>
  <si>
    <t>Section header for Client Risk Assessment</t>
  </si>
  <si>
    <t>WM Advice -&gt; Clients -&gt; Client Risk Assessment</t>
  </si>
  <si>
    <t>RAQ</t>
  </si>
  <si>
    <t>Contextual information that provide qualitative context around the client’s risk attitude, capacity for loss, and consistency of responses beyond the numeric risk score and category.</t>
  </si>
  <si>
    <t>Risk Assessment Questionnaire, Conversation Transcript</t>
  </si>
  <si>
    <t xml:space="preserve">For each client:
-Extract short narrative statements about risk
-Exclude pure numbers already stored in additional Data Fields from the sub-section.
-Keep wording concise; split into separate bullets when they describe different aspects.
</t>
  </si>
  <si>
    <t>Always display as: "Attitude to Risk: [X]" in bullet-style items</t>
  </si>
  <si>
    <t>For each client, extract from info source; if missing, generate per org rules. Repeat for each client found</t>
  </si>
  <si>
    <t>For each client, extract full name</t>
  </si>
  <si>
    <t>For each client, extract intended retirement age from transcript questions or forms</t>
  </si>
  <si>
    <t>For each client, extract occupation or loof for references like "I am a"</t>
  </si>
  <si>
    <t>For each client, extract enum from marital status and map on  [Single, Married, Divorced, Widowed]</t>
  </si>
  <si>
    <t>For each client, extract explicit count of family members</t>
  </si>
  <si>
    <t>For each client, extract explicit count of number of dependents</t>
  </si>
  <si>
    <t>For each client, extract country of residence from transcript questions or forms</t>
  </si>
  <si>
    <t>For each client, extract enum from UK resident for tax and map on [Yes, No]</t>
  </si>
  <si>
    <t>For each client, extract enum from UK Domicile and map on [Yes, No]</t>
  </si>
  <si>
    <t>For each client, extract enum from accomodation type and map on [Owned, Rent]</t>
  </si>
  <si>
    <t>For each client, extract enum from have you made a will and map on [Yes, No]</t>
  </si>
  <si>
    <t>For each client, extract enum from are your wills up to date and map on [Yes, No]</t>
  </si>
  <si>
    <t>For each client, extract explicit figure on expected retirement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</si>
  <si>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statement or quote on physical/mental health status</t>
  </si>
  <si>
    <t>For each client, extract enum from client vulnerability or regulatory criteria check and map on [Yes, No]</t>
  </si>
  <si>
    <t>For each client, extract the address from either the Smart Search Report or the Financial Planning Questionnaire</t>
  </si>
  <si>
    <t>For each client, set to “Yes” only if there is evidence in the transcript or notes of a qualifying event within the last 12 months: bereavement, divorce/separation, job loss/redundancy, serious/critical illness, or mental health challenges. Otherwise, set to “No”</t>
  </si>
  <si>
    <t>For each client, extract stated or calculated net monthly income from transcript/forms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</si>
  <si>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</si>
  <si>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monthly mortgage or rent payments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</si>
  <si>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amount paid for loans/credit each month or outstanding balance if only a lump-sum figure is given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</si>
  <si>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total contributions/payments for pensions, savings, and insurance each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</si>
  <si>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monthly household and utilities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</si>
  <si>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travel and transport monthly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</si>
  <si>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non-essential/leisure/discretionary spending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</si>
  <si>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</si>
  <si>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</si>
  <si>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calculate or extract if explicitly stated any monthly surplus income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</si>
  <si>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asset total or sum all stated individual asset fields</t>
  </si>
  <si>
    <t>For each client, extract current stated or appraised value of main residence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</si>
  <si>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total value of all non-primary properties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</si>
  <si>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accounts identified as cash or equivalent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</si>
  <si>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holdings classified as investment bonds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</si>
  <si>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sum or stated value of pension holdings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</si>
  <si>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NISA account values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</si>
  <si>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combined or individual values for all Unit Trusts, Investment Trusts or OEICs (Open-Ended Investment Companies) products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</si>
  <si>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holdings in shares (public or private)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</si>
  <si>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explicit values for business holdings or related property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</si>
  <si>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any stated value for assets not otherwise assigned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</si>
  <si>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liabilities including mortgage, loans, cards, overdraft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</si>
  <si>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stated main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</si>
  <si>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stated other property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</si>
  <si>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sum or explicit statement of credit card debt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</si>
  <si>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overdraft amount if present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</si>
  <si>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the sum of any loans mentioned in the transcript as being for education costs, vehicle finance (car/motorbike), or hire purchase (HP)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</si>
  <si>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calculate if both assets and liabilities given, or extract explicit net worth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</si>
  <si>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all objectives mentioned in transcript/forms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t>
  </si>
  <si>
    <t>For each client, extract only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t>
  </si>
  <si>
    <t>For each client, extract enum from liquidity needs and map on [Yes, No]</t>
  </si>
  <si>
    <t>For each client, extract cash/liquid assets required as stated in planning or transcript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</si>
  <si>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purpose of funds if specified in transcript ("for house deposit", "cover university fees")</t>
  </si>
  <si>
    <t xml:space="preserve">For each client, extract timeframe until needed for liquidity, in years or period	</t>
  </si>
  <si>
    <t>For each client:
- Extract any narrative commentary recorded in the FPQ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t>
  </si>
  <si>
    <t>If found display 
"Goals &amp; Purpose: Goal [N] - [X]"; if not found display "Goals &amp; Purpose: NA"</t>
  </si>
  <si>
    <t>Identify the specific monetary amount allocated or earmarked towards achieving each client goal.</t>
  </si>
  <si>
    <t>If found display "Investment Amount for Goal [N]: [Amount, Code]" (e.g., "Investment Amount for Goal 1: 5000, GBP"); if not found display "Investment Amount for Goal [N]: NA"</t>
  </si>
  <si>
    <t>If found display "Investment Portfolio/Product for Goal [N]: [X]"; if not found display "Investment Portfolio/Product for Goal [N]: NA "</t>
  </si>
  <si>
    <t xml:space="preserve">For each client goal:
-Extract the short title or label provided by the client (or adviser summarizing) explaining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-Retain as much specific phrasing as possible (“to have flexibility and help my daughter buy first home” rather than “family support”) </t>
  </si>
  <si>
    <t>Always display "Goal [N] - [X]"</t>
  </si>
  <si>
    <t>For each client goal:
- Extract a more detailed sentence explaining the specifics or context of the goal
- Retain full phrasing as provided (e.g., “to build a retirement fund that covers living expenses after age 65”)
- Exclude vague or non‑specific text (e.g., “just saving for later”)
- Capture both positive and negative context (e.g., “not intended for short‑term use”)</t>
  </si>
  <si>
    <t>For each client goal:
- Extract the client’s stated ranking of the goal’s importance.
- Only allow values from the enumeration set: [High, Medium, Low].
- Normalize synonyms or numeric rankings into one of the three allowed values (“Top priority,” “Critical,” “1” → High; “Secondary,” “Moderate,” “2” → Medium; “Least important,” “Low priority,” “3” → Low)
- Exclude vague or non‑specific statements (e.g., “all goals are important” without ranking).</t>
  </si>
  <si>
    <t>For each client goal: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</si>
  <si>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For each client goal: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</si>
  <si>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For each client goal: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</si>
  <si>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For each client goal: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</si>
  <si>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For each client goal: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</si>
  <si>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If a valid amount (and currency) is found display "Goal [N] Target Corpus: [X], [Code]" (e.g., "Goal 1 Target Corpus: [60000, GBP]"); if not found display "Goal [N] Target Corpus: NA"</t>
  </si>
  <si>
    <t>For each client goal:
Extract the value of any existing savings or investments that the client states are already allocated to that specific goal (e.g., “I already have £5,000 put aside for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</si>
  <si>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If a valid amount (and currency) is found display "Goal [N] Current Investments: [Amount, Code]" (e.g., "Goal 1 Current Investments: [5000, GBP]"; If not found display "Goal [N] Current Investments: NA".</t>
  </si>
  <si>
    <t>Investment Contribution Mode (lumpsum or periodic)</t>
  </si>
  <si>
    <t>For each client goal: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</si>
  <si>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For each client goal: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t>
  </si>
  <si>
    <t>If a valid amount (and currency) is found display "Goal [N] Available Monthly Surplus: [Amount, Code]" (e.g., "Goal 1 Available Monthly Surplus: 250, GBP"); If not found display "Goal [N] Available Monthly Surplus: NA"</t>
  </si>
  <si>
    <t>For each client:
-Extract any one‑time, non‑recurring amount the client states they have available to invest immediately for this goal (e.g., “I can put £10,000 in now”)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</si>
  <si>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For each client:
-Identify all distinct financial goals explicitly mentioned in the transcript or planning documents (e.g., “university fund”, “retirement income”, “new house deposit”)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</si>
  <si>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For each client, extract statements describing specific or general strategies considered for reducing tax efficiency, e.g. "using ISA", "pension contributions", "removing unnecessary gains"</t>
  </si>
  <si>
    <t>For each client, extract client preferences or attitudes toward tax planning ("want to keep it simple", "open to more aggressive tax reduction", etc.)</t>
  </si>
  <si>
    <t>For each client, extract and summarize all assumptions made (e.g., rates of return, inflation, income changes), major “what-if” scenarios discussed, and the modelling approach (tools/periods/logic). List each scenario or assumption if stated separately in transcript or report</t>
  </si>
  <si>
    <t>For each client, extract the key outputs (e.g., projected balances, sustainability risk), direct client reactions (“pleased”, “concerned”), and any decisions or action plans made after reviewing the modelling (“decided to retire at 62”, “will increase contributions”). List each outcome or decision, referencing client/professional feedback if available</t>
  </si>
  <si>
    <t>For each client, extract all explicit mentions of wills, power of attorney, trusts, gifts, intended legacies, or other estate planning measures. Combine into a single summary statement per client</t>
  </si>
  <si>
    <t>For each client, extract all stated professional recommendations, referrals (e.g., to solicitors), or key adviser notes related to estate planning actions</t>
  </si>
  <si>
    <t>For each client, extract the period stated for capital growth (e.g. “10 years”, “until retirement”, “long-term”). Use explicit duration if stated</t>
  </si>
  <si>
    <t>For each client, extract stated or implied period of intended income withdrawals (“until 80”, “lifetime income”, “short-term 5 years”)</t>
  </si>
  <si>
    <t>For each client, extract any rules or expectations about accessing (liquidity, notice, penalties for early withdrawal) for growth-oriented funds</t>
  </si>
  <si>
    <t>For each client, extract any rules or expectations about accessing (liquidity, notice, penalties for early withdrawal) for income-focused assets/products</t>
  </si>
  <si>
    <t>For each client, extract the numeric risk score (1–50) from risk-profiling documents or transcript</t>
  </si>
  <si>
    <t>For each client, extract risk category (1–10) as directly scored or assigned in the risk profiling questionnaire</t>
  </si>
  <si>
    <t>For each client, extract agreed risk category (1–10) after conversation; if it differs from initial, extract rationale. If rationale missing when required, set as "NA"</t>
  </si>
  <si>
    <t>For each client, extract explicit rating/category (e.g., “High”, “Low”, “Sufficient”), or detailed narrative (such as referencing investment timeframe, stability of finances, or tolerance for fluctuations)</t>
  </si>
  <si>
    <t>For each client, extract stated level (Novice/Intermediate/Advanced) or paraphrase description of investment knowledge/experience</t>
  </si>
  <si>
    <t xml:space="preserve">For each client, extract statements or preferences about sustainable investing, exclusions, or faith-based values	</t>
  </si>
  <si>
    <t xml:space="preserve">If any answers are logically inconsistent (ambivalence, contradiction), for each client extract a summary (e.g., “client wants high returns but objects to volatility”). If all consistent or not checked, NA.	</t>
  </si>
  <si>
    <t>For each client, extract summary of client’s risk capacity as described by adviser, or client self-assessment if explicitly stated</t>
  </si>
  <si>
    <t>Context for Dev team</t>
  </si>
  <si>
    <t>Is this a PII field?</t>
  </si>
  <si>
    <t>Part of Sales Review form</t>
  </si>
  <si>
    <t>Covered in Word document?</t>
  </si>
  <si>
    <t>Needs to be extracted for multiple occurences?</t>
  </si>
  <si>
    <t>Time horizon if Investment Objective = "Growth" or "Growth &amp; Income"
For each client, extract the period stated for capital growth (e.g. “10 years”, “until retirement”, “long-term”). Use explicit duration if stated</t>
  </si>
  <si>
    <t>Time horizon if Investment Objective = "Income" or "Growth &amp; Income"
For each client, extract stated or implied period of intended income withdrawals (“until 80”, “lifetime income”, “short-term 5 years”)</t>
  </si>
  <si>
    <t>For each client, extract explicit rating/category (e.g., “High”, “Low”, “Sufficient”), or detailed narrative (such as referencing investment timeframe, stability of finances, or tolerance for fluctuations)
Check is if it is discussed in Recommendation Report</t>
  </si>
  <si>
    <t>For each client, extract stated level (Novice/Intermediate/Advanced) or paraphrase description of investment knowledge/experience
Check is if it is discussed in Recommendation Report</t>
  </si>
  <si>
    <t>All the fields from Financial Planning Questionnaire are related to Client 1 and Client 2 so must be extracted accordingly
For each client, extract from info source; if missing, generate per org rules. Repeat for each client found</t>
  </si>
  <si>
    <t>For each client, extract Forename and Surname. Middlename from Forename can be ignored</t>
  </si>
  <si>
    <t>Refer RR.</t>
  </si>
  <si>
    <t>For each client extract explicit count of Family Members
The field "Family Members" is not always explicitly mentioned in the Financial Planning Questionnaire. The system should use LLM capabilities to infer the number of family members by analyzing relevant sections, such as marital status and number of children/dependents.</t>
  </si>
  <si>
    <t>For each client, extract stated asset total or sum all stated individual asset fields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</si>
  <si>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Net worth</t>
  </si>
  <si>
    <t>Previously this was Financial circimstances field</t>
  </si>
  <si>
    <t>For each client,extract word by word from Recommendation Report and FPQ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t>
  </si>
  <si>
    <t>This needs to be a dynamic field, where each client can have multiple Goals &amp; purpose.
Client 1 → Goal 1
Client 1 → Goal 2</t>
  </si>
  <si>
    <t>This needs to be a dynamic field, where each client can have a Investment amount tagged for each Goals extracted above.
Client 1 → Goal 1→ Amount 1
Client 1 → Goal 2→ Amount 2</t>
  </si>
  <si>
    <t>This needs to be a dynamic field, where each client can have a time horizon for each Goals extracted above.
Client 1 → Goal 1 → Amount 1 → Time Horizon 1
Client 1 → Goal 2 → Amount 2 → Time Horizon 2</t>
  </si>
  <si>
    <t xml:space="preserve">This needs to be a dynamic field, where each client can have multiple Investment product/portfolio for each Goals extracted above.
Client 1 → Goal 1 → Amount 1 → Time Horizon 1 → Product/Portfolio 1, 2(can have single or multiple products)
Client 1 → Goal 2 → Amount 2 → Time Horizon 2 → Product/Portfolio 3, 4(can have single or multiple products)
</t>
  </si>
  <si>
    <t>Product name changed to Fund name</t>
  </si>
  <si>
    <t>Document title</t>
  </si>
  <si>
    <t>Keep static as its title of document</t>
  </si>
  <si>
    <t>Display as "Recommendation Report"</t>
  </si>
  <si>
    <t>Display as "Prepared for [Client Name(s)]"; display "Client Name(s) data field as full names of client(s), separated by "&amp;" if there are 2 or more clients</t>
  </si>
  <si>
    <t>Display as "By [Adviser Name]"</t>
  </si>
  <si>
    <t>Subsection title</t>
  </si>
  <si>
    <t>Objective of the Recommendation Report</t>
  </si>
  <si>
    <t>Display "This document explains my advice and recommendations. Please make sure you read every section of the report. If you have any questions, please do not hesitate to contact me as detailed below:"</t>
  </si>
  <si>
    <t>Official mobile number of the Adviser</t>
  </si>
  <si>
    <t>Keep static display for now - uptill, the golden source is identified &amp; confirmed</t>
  </si>
  <si>
    <t>Display " My mobile phone number is: [Adviser Mobile #]"</t>
  </si>
  <si>
    <t>Official email id of the Adviser</t>
  </si>
  <si>
    <t>Display "My email address is: [Adviser Email]"</t>
  </si>
  <si>
    <t>Display "Introduction"</t>
  </si>
  <si>
    <t>Document overview</t>
  </si>
  <si>
    <t>Combine all the extracted client objectives into a single comma-separated objective phrase (e.g., ‘Investment, retirement and inheritance tax planning’)
Insert the phrase extracted  in the variable field shown as "[client objectives]"</t>
  </si>
  <si>
    <t>Display "Overview
This report has been prepared following our recent discussions to provide you with advice and recommendations with regards to your [client objectives]. Prior to making such recommendations, I have undertaken a suitability assessment to enable us to act in your best interest. 
The details of the suitability assessment are included in this report which will include specific product and investment recommendations and should be read in conjunction with Key Features documentation."</t>
  </si>
  <si>
    <t>Display "What we know about you
This report has been compiled using the information given by you during our meetings together with that given by the providers of any existing plans. So that I can recommend suitable products or 
services for you, it is important for me to gather information that is up-to date, complete and accurate. I have taken steps to try and ensure that the information provided is consistent and accurate. However, you should also check carefully that the information detailed is correct, and advise me of any errors or omissions as soon as possible.  
I would ask that you read this report carefully. If there is any part of the report that you do not fully understand, or if you feel as though the report does not accurately reflect your objectives, circumstances or attitude to risk, do please contact me to discuss."</t>
  </si>
  <si>
    <t>Client agreement</t>
  </si>
  <si>
    <t>Display "Client Agreement
This report should be read in conjunction with my Terms of Business and Financial Services Compensation Scheme documents."</t>
  </si>
  <si>
    <t>Display "Assumptions
All the calculations and projections are provided for guidance purposes only and should not be viewed as a guarantee of a specific level or amount of any benefit, income or capital growth. They are based on the assumptions set out in this document and may vary if different assumptions are used."</t>
  </si>
  <si>
    <t>Important information about you</t>
  </si>
  <si>
    <t>What the client want to achieve</t>
  </si>
  <si>
    <t>Your Circumstances?</t>
  </si>
  <si>
    <t>Y (Fund Value)</t>
  </si>
  <si>
    <t>No of  family members that are financially dependent on the client.</t>
  </si>
  <si>
    <t>Any narrative commentary recorded around the goal, why it matters, how the client feels about it.</t>
  </si>
  <si>
    <t>Key discussion points grouped into these EXACT themes (use ONLY these headers, no variations): Personal Details, Vulnerability, Other Business, Retirement Planning, Income &amp; Expenditure, Loans &amp; Liabilities, Savings &amp; Investments, Taxation &amp; Estate Planning, Attitude to Risk, Additional Products, Goals &amp; Objectives. Show only themes with notes and list 2–5 clear, full-sentence bullets under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</si>
</sst>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quot;£&quot;#,##0.00;[Red]\-&quot;£&quot;#,##0.00"/>
  </numFmts>
  <fonts count="21" x14ac:knownFonts="1">
    <font>
      <sz val="11"/>
      <color theme="1"/>
      <name val="Aptos Narrow"/>
      <family val="2"/>
      <scheme val="minor"/>
    </font>
    <font>
      <b/>
      <sz val="10"/>
      <color theme="2"/>
      <name val="Aptos Display"/>
      <family val="2"/>
      <scheme val="major"/>
    </font>
    <font>
      <sz val="10"/>
      <color theme="1"/>
      <name val="Aptos Display"/>
      <family val="2"/>
      <scheme val="major"/>
    </font>
    <font>
      <sz val="11"/>
      <color theme="1"/>
      <name val="Aptos Display"/>
      <family val="2"/>
      <scheme val="major"/>
    </font>
    <font>
      <sz val="10"/>
      <name val="Aptos Display"/>
      <family val="2"/>
      <scheme val="major"/>
    </font>
    <font>
      <b/>
      <sz val="10"/>
      <color theme="1"/>
      <name val="Aptos Display"/>
      <family val="2"/>
      <scheme val="major"/>
    </font>
    <font>
      <sz val="9"/>
      <color indexed="81"/>
      <name val="Tahoma"/>
      <family val="2"/>
    </font>
    <font>
      <b/>
      <sz val="10"/>
      <color theme="0"/>
      <name val="Calibri"/>
      <family val="2"/>
    </font>
    <font>
      <sz val="10"/>
      <color theme="1"/>
      <name val="Aptos Narrow"/>
      <family val="2"/>
      <scheme val="minor"/>
    </font>
    <font>
      <b/>
      <sz val="10"/>
      <color theme="0"/>
      <name val="Aptos"/>
      <family val="2"/>
    </font>
    <font>
      <sz val="11"/>
      <color theme="1"/>
      <name val="Aptos"/>
      <family val="2"/>
    </font>
    <font>
      <sz val="10"/>
      <color theme="1"/>
      <name val="Aptos"/>
      <family val="2"/>
    </font>
    <font>
      <sz val="10"/>
      <name val="Aptos Narrow"/>
      <family val="2"/>
      <scheme val="minor"/>
    </font>
    <font>
      <b/>
      <i/>
      <sz val="10"/>
      <color theme="1"/>
      <name val="Aptos Narrow"/>
      <family val="2"/>
      <scheme val="minor"/>
    </font>
    <font>
      <b/>
      <sz val="10"/>
      <color theme="1"/>
      <name val="Aptos Narrow"/>
      <family val="2"/>
      <scheme val="minor"/>
    </font>
    <font>
      <b/>
      <sz val="11"/>
      <color theme="1"/>
      <name val="Aptos Narrow"/>
      <family val="2"/>
      <scheme val="minor"/>
    </font>
    <font>
      <sz val="8"/>
      <name val="Aptos Narrow"/>
      <family val="2"/>
      <scheme val="minor"/>
    </font>
    <font>
      <sz val="10"/>
      <color rgb="FFFF0000"/>
      <name val="Aptos Display"/>
      <family val="2"/>
      <scheme val="major"/>
    </font>
    <font>
      <sz val="10"/>
      <color rgb="FFFF0000"/>
      <name val="Aptos Narrow"/>
      <family val="2"/>
      <scheme val="minor"/>
    </font>
    <font>
      <sz val="10"/>
      <color rgb="FF000000"/>
      <name val="Aptos Display"/>
      <family val="2"/>
      <scheme val="major"/>
    </font>
    <font>
      <i/>
      <sz val="10"/>
      <color theme="1"/>
      <name val="Aptos Narrow"/>
      <family val="2"/>
      <scheme val="minor"/>
    </font>
  </fonts>
  <fills count="16">
    <fill>
      <patternFill patternType="none"/>
    </fill>
    <fill>
      <patternFill patternType="gray125"/>
    </fill>
    <fill>
      <patternFill patternType="solid">
        <fgColor rgb="FFFF0000"/>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rgb="FFFFC000"/>
        <bgColor indexed="64"/>
      </patternFill>
    </fill>
    <fill>
      <patternFill patternType="solid">
        <fgColor rgb="FF5261F4"/>
        <bgColor indexed="64"/>
      </patternFill>
    </fill>
    <fill>
      <patternFill patternType="solid">
        <fgColor theme="4"/>
        <bgColor theme="4"/>
      </patternFill>
    </fill>
    <fill>
      <patternFill patternType="solid">
        <fgColor theme="6"/>
        <bgColor indexed="64"/>
      </patternFill>
    </fill>
    <fill>
      <patternFill patternType="solid">
        <fgColor rgb="FF0070C0"/>
        <bgColor indexed="64"/>
      </patternFill>
    </fill>
    <fill>
      <patternFill patternType="solid">
        <fgColor theme="9"/>
        <bgColor theme="4"/>
      </patternFill>
    </fill>
    <fill>
      <patternFill patternType="solid">
        <fgColor rgb="FF92D050"/>
        <bgColor indexed="64"/>
      </patternFill>
    </fill>
  </fills>
  <borders count="12">
    <border>
      <left/>
      <right/>
      <top/>
      <bottom/>
      <diagonal/>
    </border>
    <border>
      <left style="hair">
        <color theme="2" tint="-0.249977111117893"/>
      </left>
      <right style="hair">
        <color theme="2" tint="-0.249977111117893"/>
      </right>
      <top/>
      <bottom style="hair">
        <color theme="2" tint="-0.249977111117893"/>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style="thin">
        <color theme="4"/>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hair">
        <color theme="2" tint="-0.249977111117893"/>
      </left>
      <right/>
      <top style="hair">
        <color theme="2" tint="-0.249977111117893"/>
      </top>
      <bottom style="hair">
        <color theme="2" tint="-0.249977111117893"/>
      </bottom>
      <diagonal/>
    </border>
    <border>
      <left/>
      <right/>
      <top style="hair">
        <color theme="2" tint="-0.249977111117893"/>
      </top>
      <bottom style="hair">
        <color theme="2" tint="-0.249977111117893"/>
      </bottom>
      <diagonal/>
    </border>
    <border>
      <left style="thin">
        <color theme="4"/>
      </left>
      <right/>
      <top/>
      <bottom/>
      <diagonal/>
    </border>
  </borders>
  <cellStyleXfs count="1">
    <xf numFmtId="0" fontId="0" fillId="0" borderId="0"/>
  </cellStyleXfs>
  <cellXfs count="128">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vertical="center" wrapText="1"/>
    </xf>
    <xf numFmtId="0" fontId="3" fillId="0" borderId="0" xfId="0" applyFont="1" applyAlignment="1">
      <alignment vertical="center"/>
    </xf>
    <xf numFmtId="0" fontId="2" fillId="0" borderId="3" xfId="0" applyFont="1" applyBorder="1" applyAlignment="1">
      <alignment horizontal="left" vertical="center" wrapText="1"/>
    </xf>
    <xf numFmtId="0" fontId="2" fillId="0" borderId="4"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vertical="center" wrapText="1"/>
    </xf>
    <xf numFmtId="0" fontId="2" fillId="6" borderId="2" xfId="0" applyFont="1" applyFill="1" applyBorder="1" applyAlignment="1">
      <alignment horizontal="left" vertical="center" wrapText="1"/>
    </xf>
    <xf numFmtId="0" fontId="2" fillId="6" borderId="3" xfId="0" applyFont="1" applyFill="1" applyBorder="1" applyAlignment="1">
      <alignment horizontal="left" vertical="center" wrapText="1"/>
    </xf>
    <xf numFmtId="0" fontId="4" fillId="6" borderId="3" xfId="0" applyFont="1" applyFill="1" applyBorder="1" applyAlignment="1">
      <alignment vertical="center" wrapText="1"/>
    </xf>
    <xf numFmtId="0" fontId="2" fillId="6" borderId="3" xfId="0" applyFont="1" applyFill="1" applyBorder="1" applyAlignment="1">
      <alignment vertical="center" wrapText="1"/>
    </xf>
    <xf numFmtId="0" fontId="2" fillId="0" borderId="3" xfId="0" quotePrefix="1" applyFont="1" applyBorder="1" applyAlignment="1">
      <alignment vertical="center" wrapText="1"/>
    </xf>
    <xf numFmtId="0" fontId="2" fillId="6" borderId="0" xfId="0" applyFont="1" applyFill="1" applyAlignment="1">
      <alignment vertical="center" wrapText="1"/>
    </xf>
    <xf numFmtId="0" fontId="2" fillId="6" borderId="2" xfId="0" applyFont="1" applyFill="1" applyBorder="1" applyAlignment="1">
      <alignment vertical="center" wrapText="1"/>
    </xf>
    <xf numFmtId="0" fontId="2" fillId="6" borderId="4" xfId="0" applyFont="1" applyFill="1" applyBorder="1" applyAlignment="1">
      <alignment vertical="center" wrapText="1"/>
    </xf>
    <xf numFmtId="0" fontId="2" fillId="7" borderId="0" xfId="0" applyFont="1" applyFill="1" applyAlignment="1">
      <alignment vertical="center" wrapText="1"/>
    </xf>
    <xf numFmtId="0" fontId="2" fillId="7" borderId="2" xfId="0" applyFont="1" applyFill="1" applyBorder="1" applyAlignment="1">
      <alignment horizontal="left" vertical="center" wrapText="1"/>
    </xf>
    <xf numFmtId="0" fontId="2" fillId="7" borderId="0" xfId="0" applyFont="1" applyFill="1" applyAlignment="1">
      <alignment horizontal="left" vertical="center" wrapText="1"/>
    </xf>
    <xf numFmtId="0" fontId="2" fillId="7" borderId="3" xfId="0" applyFont="1" applyFill="1" applyBorder="1" applyAlignment="1">
      <alignment horizontal="left" vertical="center" wrapText="1"/>
    </xf>
    <xf numFmtId="0" fontId="2" fillId="7" borderId="3" xfId="0" applyFont="1" applyFill="1" applyBorder="1" applyAlignment="1">
      <alignment vertical="center" wrapText="1"/>
    </xf>
    <xf numFmtId="0" fontId="3" fillId="0" borderId="3" xfId="0" applyFont="1" applyBorder="1" applyAlignment="1">
      <alignment vertical="center"/>
    </xf>
    <xf numFmtId="0" fontId="2" fillId="7" borderId="4" xfId="0" applyFont="1" applyFill="1" applyBorder="1" applyAlignment="1">
      <alignment vertical="center" wrapText="1"/>
    </xf>
    <xf numFmtId="0" fontId="2" fillId="0" borderId="0" xfId="0" applyFont="1" applyAlignment="1">
      <alignment horizontal="left" vertical="center" wrapText="1"/>
    </xf>
    <xf numFmtId="0" fontId="2" fillId="8" borderId="0" xfId="0" applyFont="1" applyFill="1" applyAlignment="1">
      <alignment horizontal="left" vertical="center" wrapText="1"/>
    </xf>
    <xf numFmtId="0" fontId="2" fillId="9" borderId="0" xfId="0" applyFont="1" applyFill="1" applyAlignment="1">
      <alignment vertical="center" wrapText="1"/>
    </xf>
    <xf numFmtId="0" fontId="3" fillId="9" borderId="0" xfId="0" applyFont="1" applyFill="1" applyAlignment="1">
      <alignment vertical="center"/>
    </xf>
    <xf numFmtId="0" fontId="8" fillId="0" borderId="3" xfId="0" applyFont="1" applyBorder="1" applyAlignment="1">
      <alignment horizontal="lef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10" fillId="0" borderId="0" xfId="0" applyFont="1"/>
    <xf numFmtId="0" fontId="11" fillId="0" borderId="3" xfId="0" applyFont="1" applyBorder="1" applyAlignment="1">
      <alignment horizontal="lef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10" borderId="0" xfId="0" applyFont="1" applyFill="1" applyAlignment="1">
      <alignment horizontal="left" vertical="center" wrapText="1"/>
    </xf>
    <xf numFmtId="0" fontId="9" fillId="10" borderId="0" xfId="0" applyFont="1" applyFill="1" applyAlignment="1">
      <alignment vertical="center" wrapText="1"/>
    </xf>
    <xf numFmtId="0" fontId="9" fillId="2" borderId="0" xfId="0" applyFont="1" applyFill="1" applyAlignment="1">
      <alignment horizontal="left" vertical="center" wrapText="1"/>
    </xf>
    <xf numFmtId="0" fontId="9" fillId="10" borderId="5"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1" fillId="6" borderId="3" xfId="0" applyFont="1" applyFill="1" applyBorder="1" applyAlignment="1">
      <alignment vertical="center" wrapText="1"/>
    </xf>
    <xf numFmtId="0" fontId="12" fillId="0" borderId="3" xfId="0" applyFont="1" applyBorder="1" applyAlignment="1">
      <alignment vertical="center" wrapText="1"/>
    </xf>
    <xf numFmtId="0" fontId="8" fillId="0" borderId="3" xfId="0" quotePrefix="1" applyFont="1" applyBorder="1" applyAlignment="1">
      <alignment vertical="center" wrapText="1"/>
    </xf>
    <xf numFmtId="0" fontId="13" fillId="0" borderId="3" xfId="0" quotePrefix="1" applyFont="1" applyBorder="1" applyAlignment="1">
      <alignment vertical="center" wrapText="1"/>
    </xf>
    <xf numFmtId="0" fontId="8" fillId="6" borderId="3" xfId="0" applyFont="1" applyFill="1" applyBorder="1" applyAlignment="1">
      <alignment vertical="center" wrapText="1"/>
    </xf>
    <xf numFmtId="0" fontId="14" fillId="0" borderId="3" xfId="0" applyFont="1" applyBorder="1" applyAlignment="1">
      <alignment vertical="center" wrapText="1"/>
    </xf>
    <xf numFmtId="0" fontId="8" fillId="0" borderId="0" xfId="0" applyFont="1" applyAlignment="1">
      <alignment vertical="center" wrapText="1"/>
    </xf>
    <xf numFmtId="0" fontId="7" fillId="10" borderId="0" xfId="0" applyFont="1" applyFill="1" applyAlignment="1">
      <alignment horizontal="left" vertical="center" wrapText="1"/>
    </xf>
    <xf numFmtId="0" fontId="7" fillId="10" borderId="0" xfId="0" applyFont="1" applyFill="1" applyAlignment="1">
      <alignment vertical="center" wrapText="1"/>
    </xf>
    <xf numFmtId="0" fontId="7" fillId="2" borderId="0" xfId="0" applyFont="1" applyFill="1" applyAlignment="1">
      <alignment horizontal="left" vertical="center" wrapText="1"/>
    </xf>
    <xf numFmtId="0" fontId="7" fillId="10" borderId="5" xfId="0" applyFont="1" applyFill="1" applyBorder="1" applyAlignment="1">
      <alignment horizontal="left" vertical="center" wrapText="1"/>
    </xf>
    <xf numFmtId="0" fontId="8" fillId="6" borderId="0" xfId="0" applyFont="1" applyFill="1" applyAlignment="1">
      <alignment vertical="center" wrapText="1"/>
    </xf>
    <xf numFmtId="0" fontId="2" fillId="0" borderId="0" xfId="0" applyFont="1" applyAlignment="1">
      <alignment vertical="center"/>
    </xf>
    <xf numFmtId="0" fontId="17" fillId="0" borderId="0" xfId="0" applyFont="1" applyAlignment="1">
      <alignment vertical="center" wrapText="1"/>
    </xf>
    <xf numFmtId="0" fontId="18" fillId="0" borderId="9" xfId="0" applyFont="1" applyBorder="1" applyAlignment="1">
      <alignment vertical="center" wrapText="1"/>
    </xf>
    <xf numFmtId="0" fontId="19" fillId="0" borderId="0" xfId="0" applyFont="1" applyAlignment="1">
      <alignment vertical="center" wrapText="1"/>
    </xf>
    <xf numFmtId="0" fontId="2" fillId="0" borderId="10" xfId="0" applyFont="1" applyBorder="1" applyAlignment="1">
      <alignment vertical="center" wrapText="1"/>
    </xf>
    <xf numFmtId="0" fontId="2" fillId="0" borderId="3" xfId="0" applyFont="1" applyBorder="1" applyAlignment="1">
      <alignment vertical="center"/>
    </xf>
    <xf numFmtId="0" fontId="2" fillId="0" borderId="6" xfId="0" applyFont="1" applyBorder="1" applyAlignment="1">
      <alignment horizontal="left" vertical="center" wrapText="1"/>
    </xf>
    <xf numFmtId="0" fontId="2" fillId="0" borderId="7" xfId="0" applyFont="1" applyBorder="1" applyAlignment="1">
      <alignmen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19" fillId="0" borderId="3" xfId="0" applyFont="1" applyBorder="1" applyAlignment="1">
      <alignment vertical="center" wrapText="1"/>
    </xf>
    <xf numFmtId="0" fontId="1" fillId="11" borderId="0" xfId="0" applyFont="1" applyFill="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5" borderId="0" xfId="0" applyFont="1" applyFill="1" applyAlignment="1">
      <alignment vertical="center" wrapText="1"/>
    </xf>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19" fillId="0" borderId="0" xfId="0" applyFont="1" applyAlignment="1">
      <alignment wrapText="1"/>
    </xf>
    <xf numFmtId="0" fontId="2" fillId="8" borderId="0" xfId="0" applyFont="1" applyFill="1" applyAlignment="1">
      <alignment vertical="center" wrapText="1"/>
    </xf>
    <xf numFmtId="0" fontId="7" fillId="12" borderId="0" xfId="0" applyFont="1" applyFill="1" applyAlignment="1">
      <alignment horizontal="left" vertical="center" wrapText="1"/>
    </xf>
    <xf numFmtId="0" fontId="1" fillId="11" borderId="11" xfId="0" applyFont="1" applyFill="1" applyBorder="1" applyAlignment="1">
      <alignment horizontal="left" vertical="center" wrapText="1"/>
    </xf>
    <xf numFmtId="0" fontId="1" fillId="11" borderId="0" xfId="0" applyFont="1" applyFill="1"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1" fillId="5" borderId="5" xfId="0" applyFont="1" applyFill="1" applyBorder="1" applyAlignment="1">
      <alignment horizontal="left" vertical="center" wrapText="1"/>
    </xf>
    <xf numFmtId="0" fontId="8" fillId="0" borderId="0" xfId="0" applyFont="1" applyAlignment="1">
      <alignment horizontal="left" vertical="center" wrapText="1"/>
    </xf>
    <xf numFmtId="0" fontId="18" fillId="0" borderId="0" xfId="0" applyFont="1" applyAlignment="1">
      <alignment horizontal="left" vertical="center" wrapText="1"/>
    </xf>
    <xf numFmtId="0" fontId="12" fillId="0" borderId="9" xfId="0" applyFont="1" applyBorder="1" applyAlignment="1">
      <alignment vertical="center" wrapText="1"/>
    </xf>
    <xf numFmtId="0" fontId="8" fillId="0" borderId="9" xfId="0" applyFont="1" applyBorder="1" applyAlignment="1">
      <alignment vertical="center" wrapText="1"/>
    </xf>
    <xf numFmtId="0" fontId="8" fillId="2" borderId="0" xfId="0" applyFont="1" applyFill="1" applyAlignment="1">
      <alignment horizontal="left" vertical="center" wrapText="1"/>
    </xf>
    <xf numFmtId="0" fontId="1" fillId="12" borderId="0" xfId="0" applyFont="1" applyFill="1" applyAlignment="1">
      <alignment vertical="center" wrapText="1"/>
    </xf>
    <xf numFmtId="0" fontId="8" fillId="8" borderId="3" xfId="0" applyFont="1" applyFill="1" applyBorder="1" applyAlignment="1">
      <alignment horizontal="left" vertical="center" wrapText="1"/>
    </xf>
    <xf numFmtId="0" fontId="8" fillId="2" borderId="3" xfId="0" applyFont="1" applyFill="1" applyBorder="1" applyAlignment="1">
      <alignment vertical="center" wrapText="1"/>
    </xf>
    <xf numFmtId="0" fontId="7" fillId="13" borderId="0" xfId="0" applyFont="1" applyFill="1" applyAlignment="1">
      <alignment horizontal="left" vertical="center" wrapText="1"/>
    </xf>
    <xf numFmtId="0" fontId="1" fillId="0" borderId="0" xfId="0" applyFont="1" applyAlignment="1">
      <alignment vertical="center"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0" fillId="0" borderId="0" xfId="0" applyAlignment="1">
      <alignment wrapText="1"/>
    </xf>
    <xf numFmtId="0" fontId="7" fillId="4" borderId="0" xfId="0" applyFont="1" applyFill="1" applyAlignment="1">
      <alignment horizontal="left" vertical="center" wrapText="1"/>
    </xf>
    <xf numFmtId="0" fontId="1" fillId="14" borderId="0" xfId="0" applyFont="1" applyFill="1" applyAlignment="1">
      <alignment vertical="center" wrapText="1"/>
    </xf>
    <xf numFmtId="0" fontId="1" fillId="4" borderId="0" xfId="0" applyFont="1" applyFill="1" applyAlignment="1">
      <alignment vertical="center" wrapText="1"/>
    </xf>
    <xf numFmtId="0" fontId="2" fillId="6" borderId="0" xfId="0" applyFont="1" applyFill="1" applyAlignment="1">
      <alignment wrapText="1"/>
    </xf>
    <xf numFmtId="0" fontId="8" fillId="7" borderId="3" xfId="0" applyFont="1" applyFill="1" applyBorder="1" applyAlignment="1">
      <alignment vertical="center" wrapText="1"/>
    </xf>
    <xf numFmtId="0" fontId="8" fillId="7" borderId="0" xfId="0" applyFont="1" applyFill="1" applyAlignment="1">
      <alignment vertical="center" wrapText="1"/>
    </xf>
    <xf numFmtId="0" fontId="2" fillId="7" borderId="0" xfId="0" applyFont="1" applyFill="1" applyAlignment="1">
      <alignment vertical="center"/>
    </xf>
    <xf numFmtId="0" fontId="8" fillId="0" borderId="2" xfId="0" applyFont="1" applyBorder="1" applyAlignment="1">
      <alignment vertical="center" wrapText="1"/>
    </xf>
    <xf numFmtId="0" fontId="17" fillId="0" borderId="3" xfId="0" applyFont="1" applyBorder="1" applyAlignment="1">
      <alignment vertical="center" wrapText="1"/>
    </xf>
    <xf numFmtId="0" fontId="8" fillId="0" borderId="0" xfId="0" applyFont="1"/>
    <xf numFmtId="0" fontId="20" fillId="0" borderId="0" xfId="0" applyFont="1" applyAlignment="1">
      <alignment vertical="center" wrapText="1"/>
    </xf>
    <xf numFmtId="0" fontId="8" fillId="2" borderId="0" xfId="0" applyFont="1" applyFill="1" applyAlignment="1">
      <alignment vertical="center" wrapText="1"/>
    </xf>
    <xf numFmtId="164" fontId="8" fillId="6" borderId="0" xfId="0" applyNumberFormat="1" applyFont="1" applyFill="1" applyAlignment="1">
      <alignment vertical="center" wrapText="1"/>
    </xf>
    <xf numFmtId="14" fontId="8" fillId="6" borderId="0" xfId="0" applyNumberFormat="1" applyFont="1" applyFill="1" applyAlignment="1">
      <alignment vertical="center" wrapText="1"/>
    </xf>
    <xf numFmtId="165" fontId="8" fillId="6" borderId="0" xfId="0" applyNumberFormat="1" applyFont="1" applyFill="1" applyAlignment="1">
      <alignment vertical="center" wrapText="1"/>
    </xf>
    <xf numFmtId="17" fontId="8" fillId="6" borderId="0" xfId="0" applyNumberFormat="1" applyFont="1" applyFill="1" applyAlignment="1">
      <alignment vertical="center" wrapText="1"/>
    </xf>
    <xf numFmtId="49" fontId="8" fillId="0" borderId="0" xfId="0" applyNumberFormat="1" applyFont="1" applyAlignment="1">
      <alignment vertical="center" wrapText="1"/>
    </xf>
    <xf numFmtId="0" fontId="8" fillId="0" borderId="7" xfId="0" applyFont="1" applyBorder="1" applyAlignment="1">
      <alignment vertical="center" wrapText="1"/>
    </xf>
    <xf numFmtId="0" fontId="8" fillId="15" borderId="3" xfId="0" applyFont="1" applyFill="1" applyBorder="1" applyAlignment="1">
      <alignment horizontal="left" vertical="center" wrapText="1"/>
    </xf>
    <xf numFmtId="0" fontId="8" fillId="15" borderId="3" xfId="0" applyFont="1" applyFill="1" applyBorder="1" applyAlignment="1">
      <alignment vertical="center" wrapText="1"/>
    </xf>
    <xf numFmtId="0" fontId="8" fillId="15" borderId="0" xfId="0" applyFont="1" applyFill="1" applyAlignment="1">
      <alignment vertical="center" wrapText="1"/>
    </xf>
    <xf numFmtId="0" fontId="8" fillId="6" borderId="3" xfId="0" applyFont="1" applyFill="1" applyBorder="1" applyAlignment="1">
      <alignment horizontal="left" vertical="center" wrapText="1"/>
    </xf>
    <xf numFmtId="0" fontId="2" fillId="15" borderId="3" xfId="0" applyFont="1" applyFill="1" applyBorder="1" applyAlignment="1">
      <alignment vertical="center" wrapText="1"/>
    </xf>
    <xf numFmtId="0" fontId="8" fillId="2" borderId="3" xfId="0" applyFont="1" applyFill="1" applyBorder="1" applyAlignment="1">
      <alignment horizontal="left" vertical="center" wrapText="1"/>
    </xf>
    <xf numFmtId="0" fontId="2" fillId="2" borderId="3" xfId="0" applyFont="1" applyFill="1" applyBorder="1" applyAlignment="1">
      <alignment vertical="center" wrapText="1"/>
    </xf>
    <xf numFmtId="0" fontId="2" fillId="0" borderId="2" xfId="0" applyFont="1" applyBorder="1" applyAlignment="1">
      <alignment vertical="center"/>
    </xf>
    <xf numFmtId="0" fontId="8" fillId="2" borderId="3" xfId="0" quotePrefix="1" applyFont="1" applyFill="1" applyBorder="1" applyAlignment="1">
      <alignment vertical="center" wrapText="1"/>
    </xf>
    <xf numFmtId="0" fontId="8" fillId="6" borderId="0" xfId="0" applyFont="1" applyFill="1"/>
    <xf numFmtId="0" fontId="2" fillId="6" borderId="0" xfId="0" applyFont="1" applyFill="1" applyAlignment="1">
      <alignment horizontal="left" vertical="center" wrapText="1"/>
    </xf>
    <xf numFmtId="0" fontId="2" fillId="15" borderId="0" xfId="0" applyFont="1" applyFill="1" applyAlignment="1">
      <alignment vertical="center" wrapText="1"/>
    </xf>
    <xf numFmtId="0" fontId="2" fillId="15" borderId="0" xfId="0" applyFont="1" applyFill="1" applyAlignment="1">
      <alignment horizontal="left" vertical="center" wrapText="1"/>
    </xf>
  </cellXfs>
  <cellStyles count="1">
    <cellStyle name="Normal" xfId="0" builtinId="0"/>
  </cellStyles>
  <dxfs count="226">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border outline="0">
        <top style="hair">
          <color theme="2" tint="-0.249977111117893"/>
        </top>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border diagonalUp="0" diagonalDown="0">
        <left/>
        <right/>
        <top style="thin">
          <color theme="4"/>
        </top>
        <bottom/>
        <vertical/>
        <horizontal/>
      </border>
    </dxf>
    <dxf>
      <border outline="0">
        <left style="thin">
          <color theme="4"/>
        </left>
        <top style="hair">
          <color indexed="64"/>
        </top>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5261F4"/>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border outline="0">
        <left style="thin">
          <color theme="4"/>
        </left>
        <top style="hair">
          <color indexed="64"/>
        </top>
        <bottom style="thin">
          <color theme="4"/>
        </bottom>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theme="0"/>
        <name val="Aptos"/>
        <family val="2"/>
        <scheme val="none"/>
      </font>
      <fill>
        <patternFill patternType="solid">
          <fgColor indexed="64"/>
          <bgColor rgb="FF5261F4"/>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ill>
        <patternFill patternType="solid">
          <fgColor rgb="FFF2CEEF"/>
          <bgColor rgb="FF000000"/>
        </patternFill>
      </fill>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border outline="0">
        <top style="hair">
          <color rgb="FFADADAD"/>
        </top>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right/>
        <top style="thin">
          <color theme="4"/>
        </top>
        <bottom/>
      </border>
    </dxf>
    <dxf>
      <border outline="0">
        <left style="thin">
          <color theme="4"/>
        </left>
        <top style="hair">
          <color indexed="64"/>
        </top>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0070C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border diagonalUp="0" diagonalDown="0">
        <left/>
        <right/>
        <top style="thin">
          <color theme="4"/>
        </top>
        <bottom/>
        <vertical/>
        <horizontal/>
      </border>
    </dxf>
    <dxf>
      <border outline="0">
        <left style="thin">
          <color rgb="FF156082"/>
        </left>
        <top style="hair">
          <color rgb="FF000000"/>
        </top>
      </border>
    </dxf>
    <dxf>
      <font>
        <b val="0"/>
        <i val="0"/>
        <strike val="0"/>
        <condense val="0"/>
        <extend val="0"/>
        <outline val="0"/>
        <shadow val="0"/>
        <u val="none"/>
        <vertAlign val="baseline"/>
        <sz val="10"/>
        <color rgb="FF000000"/>
        <name val="Aptos Narrow"/>
        <family val="2"/>
        <scheme val="none"/>
      </font>
      <fill>
        <patternFill patternType="solid">
          <fgColor rgb="FF000000"/>
          <bgColor rgb="FFFFFF00"/>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5261F4"/>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260350</xdr:colOff>
      <xdr:row>0</xdr:row>
      <xdr:rowOff>0</xdr:rowOff>
    </xdr:from>
    <xdr:to>
      <xdr:col>15</xdr:col>
      <xdr:colOff>203667</xdr:colOff>
      <xdr:row>24</xdr:row>
      <xdr:rowOff>6577</xdr:rowOff>
    </xdr:to>
    <xdr:pic>
      <xdr:nvPicPr>
        <xdr:cNvPr id="3" name="Picture 2">
          <a:extLst>
            <a:ext uri="{FF2B5EF4-FFF2-40B4-BE49-F238E27FC236}">
              <a16:creationId xmlns:a16="http://schemas.microsoft.com/office/drawing/2014/main" id="{7914B1DB-D89D-24E2-14F3-6A4BD1CD9156}"/>
            </a:ext>
          </a:extLst>
        </xdr:cNvPr>
        <xdr:cNvPicPr>
          <a:picLocks noChangeAspect="1"/>
        </xdr:cNvPicPr>
      </xdr:nvPicPr>
      <xdr:blipFill>
        <a:blip xmlns:r="http://schemas.openxmlformats.org/officeDocument/2006/relationships" r:embed="rId1"/>
        <a:stretch>
          <a:fillRect/>
        </a:stretch>
      </xdr:blipFill>
      <xdr:spPr>
        <a:xfrm>
          <a:off x="260350" y="0"/>
          <a:ext cx="9087317" cy="4426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ailoqa.sharepoint.com/sites/KRISHPROJECTMANAGEMENTCONSULTINGPRIVATELIMIT/Shared%20Documents/Dailoqa%20Presentations/Wealth%20Management/11.%20Saltus/Advisor%20Tool%20&amp;%20Paraplanner/02.%20Extraction%20&amp;%20Business%20Rules/Paraplanner_Extraction%20and%20Rules_v1.xlsx" TargetMode="External"/><Relationship Id="rId2" Type="http://schemas.microsoft.com/office/2019/04/relationships/externalLinkLongPath" Target="https://dailoqa.sharepoint.com/sites/KRISHPROJECTMANAGEMENTCONSULTINGPRIVATELIMIT/Shared%20Documents/Dailoqa%20Presentations/Wealth%20Management/11.%20Saltus/Advisor%20Tool%20&amp;%20Paraplanner/02.%20Extraction%20&amp;%20Business%20Rules/Paraplanner_Extraction%20and%20Rules_v1.xlsx?AF186075" TargetMode="External"/><Relationship Id="rId1" Type="http://schemas.openxmlformats.org/officeDocument/2006/relationships/externalLinkPath" Target="file:///\\AF186075\Paraplanner_Extraction%20and%20Rules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lient Profile"/>
      <sheetName val="Business Rules - OLD"/>
      <sheetName val="Extraction"/>
      <sheetName val="Business Rules - HON &amp; ATR"/>
      <sheetName val="Sheet1"/>
      <sheetName val="Recommendation_Report"/>
      <sheetName val="Rules_ATR"/>
      <sheetName val="Extraction_Goals"/>
      <sheetName val="Rules_HON"/>
      <sheetName val="Sheet2"/>
      <sheetName val="General_Rules"/>
    </sheetNames>
    <sheetDataSet>
      <sheetData sheetId="0" refreshError="1"/>
      <sheetData sheetId="1" refreshError="1"/>
      <sheetData sheetId="2" refreshError="1"/>
      <sheetData sheetId="3" refreshError="1">
        <row r="1">
          <cell r="D1" t="str">
            <v>Data Field</v>
          </cell>
          <cell r="E1" t="str">
            <v>New Field (Y/N)</v>
          </cell>
          <cell r="F1" t="str">
            <v>Field Description</v>
          </cell>
          <cell r="G1" t="str">
            <v>Extracted Data Needed (Y/N)</v>
          </cell>
          <cell r="H1" t="str">
            <v>Golden Source</v>
          </cell>
          <cell r="I1" t="str">
            <v>Documents extraction source(s)</v>
          </cell>
          <cell r="J1" t="str">
            <v>Business Rule (For each client, extraction) - Only for New Data fields</v>
          </cell>
        </row>
        <row r="2">
          <cell r="D2" t="str">
            <v>Client Name(s)</v>
          </cell>
          <cell r="E2" t="str">
            <v>N</v>
          </cell>
          <cell r="F2" t="str">
            <v>Full name of the client</v>
          </cell>
          <cell r="G2" t="str">
            <v>Y</v>
          </cell>
          <cell r="H2"/>
          <cell r="I2" t="str">
            <v>Conversation transcript</v>
          </cell>
          <cell r="J2" t="str">
            <v>Extract client full name(s) from adviser greetings, introductions, or direct address in transcript. Look for patterns like "Good morning [Name]", "Thank you [Name] for", client self-introductions</v>
          </cell>
        </row>
        <row r="3">
          <cell r="D3" t="str">
            <v>Adviser Name</v>
          </cell>
          <cell r="E3" t="str">
            <v>N</v>
          </cell>
          <cell r="F3"/>
          <cell r="G3" t="str">
            <v>Y</v>
          </cell>
          <cell r="H3" t="str">
            <v>Transcript/Default</v>
          </cell>
          <cell r="I3" t="str">
            <v>Conversation transcript</v>
          </cell>
          <cell r="J3" t="str">
            <v xml:space="preserve">Extract adviser name from transcript introduction or default to "xxx"	</v>
          </cell>
        </row>
        <row r="4">
          <cell r="D4" t="str">
            <v>FCA Reference Number</v>
          </cell>
          <cell r="E4"/>
          <cell r="F4"/>
          <cell r="G4"/>
          <cell r="H4"/>
          <cell r="I4"/>
          <cell r="J4" t="str">
            <v>NA</v>
          </cell>
        </row>
        <row r="5">
          <cell r="D5" t="str">
            <v>Office Address</v>
          </cell>
          <cell r="E5" t="str">
            <v>N</v>
          </cell>
          <cell r="F5"/>
          <cell r="G5" t="str">
            <v>N</v>
          </cell>
          <cell r="H5" t="str">
            <v>Static</v>
          </cell>
          <cell r="I5" t="str">
            <v>NA</v>
          </cell>
          <cell r="J5" t="str">
            <v>NA</v>
          </cell>
        </row>
        <row r="6">
          <cell r="D6" t="str">
            <v>Office Contact Details</v>
          </cell>
          <cell r="E6" t="str">
            <v>N</v>
          </cell>
          <cell r="F6"/>
          <cell r="G6" t="str">
            <v>N</v>
          </cell>
          <cell r="H6" t="str">
            <v>Static</v>
          </cell>
          <cell r="I6" t="str">
            <v>NA</v>
          </cell>
          <cell r="J6" t="str">
            <v>NA</v>
          </cell>
        </row>
        <row r="7">
          <cell r="D7" t="str">
            <v>Meeting Date</v>
          </cell>
          <cell r="E7" t="str">
            <v>N</v>
          </cell>
          <cell r="F7"/>
          <cell r="G7" t="str">
            <v>Y</v>
          </cell>
          <cell r="H7" t="str">
            <v>Transcript</v>
          </cell>
          <cell r="I7" t="str">
            <v>Conversation transcript</v>
          </cell>
          <cell r="J7" t="str">
            <v>Extract date from transcript metadata, or look for references like "today is", "our meeting on [date]", date stamps in transcript</v>
          </cell>
        </row>
        <row r="8">
          <cell r="D8" t="str">
            <v>Document Generation Date</v>
          </cell>
          <cell r="E8" t="str">
            <v>N</v>
          </cell>
          <cell r="F8"/>
          <cell r="G8" t="str">
            <v>N</v>
          </cell>
          <cell r="H8" t="str">
            <v>System</v>
          </cell>
          <cell r="I8" t="str">
            <v>NA</v>
          </cell>
          <cell r="J8" t="str">
            <v>NA</v>
          </cell>
        </row>
        <row r="9">
          <cell r="D9" t="str">
            <v>Executive Summary</v>
          </cell>
          <cell r="E9" t="str">
            <v>Y</v>
          </cell>
          <cell r="F9" t="str">
            <v>Concise narrative summary of the meeting, highlighting who attended, what was discussed, key concerns/objectives, and agreed next steps.</v>
          </cell>
          <cell r="G9" t="str">
            <v>Y</v>
          </cell>
          <cell r="H9" t="str">
            <v>Transcript</v>
          </cell>
          <cell r="I9" t="str">
            <v>Conversation transcript</v>
          </cell>
          <cell r="J9" t="str">
            <v>Analyze the entire transcript to extract: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internal process notes (e.g., back‑office tasks, system errors) that are not relevant to the client‑facing narrative</v>
          </cell>
        </row>
        <row r="10">
          <cell r="D10" t="str">
            <v>Section Header</v>
          </cell>
          <cell r="E10" t="str">
            <v>N</v>
          </cell>
          <cell r="G10" t="str">
            <v>N</v>
          </cell>
          <cell r="H10" t="str">
            <v>Static</v>
          </cell>
          <cell r="I10" t="str">
            <v>NA</v>
          </cell>
          <cell r="J10" t="str">
            <v>NA</v>
          </cell>
        </row>
        <row r="11">
          <cell r="D11" t="str">
            <v>Client ID</v>
          </cell>
          <cell r="E11" t="str">
            <v>Y</v>
          </cell>
          <cell r="F11" t="str">
            <v>Unique client identifier i.e. SSID</v>
          </cell>
          <cell r="G11" t="str">
            <v>Y</v>
          </cell>
          <cell r="H11"/>
          <cell r="I11" t="str">
            <v>Financial Planning Questionnaire, SmartSearch</v>
          </cell>
          <cell r="J11" t="str">
            <v>For each client, extract from info source; if missing, generate per org rules. Repeat for each client found</v>
          </cell>
        </row>
        <row r="12">
          <cell r="D12" t="str">
            <v>Client Name</v>
          </cell>
          <cell r="E12" t="str">
            <v>Y</v>
          </cell>
          <cell r="F12" t="str">
            <v>Full name of the client</v>
          </cell>
          <cell r="G12" t="str">
            <v>Y</v>
          </cell>
          <cell r="H12"/>
          <cell r="I12" t="str">
            <v>Recommendation Report, Risk Assessment Questionnaire, Financial Planning Questionnaire, Illustration Report, Client Agreement, Client Fee Agreement, SmartSearch, Pension Switch Analysis (PSA), Cashflow, Ceding Scheme Info</v>
          </cell>
          <cell r="J12" t="str">
            <v>For each client, extract full name</v>
          </cell>
        </row>
        <row r="13">
          <cell r="D13" t="str">
            <v>DOB</v>
          </cell>
          <cell r="E13" t="str">
            <v>Y</v>
          </cell>
          <cell r="F13" t="str">
            <v>Date of birth</v>
          </cell>
          <cell r="G13" t="str">
            <v>Y</v>
          </cell>
          <cell r="H13"/>
          <cell r="I13" t="str">
            <v>Financial Planning Questionnaire, Illustration Report, SmartSearch, Pension Switch Analysis (PSA), Cashflow</v>
          </cell>
          <cell r="J13" t="str">
            <v>For each client, extract date of birth or look for references like "my birthday is", "I was born on"
-Display using dd-Month-YYYY format (e.g., 24 November 1990)</v>
          </cell>
        </row>
        <row r="14">
          <cell r="D14" t="str">
            <v>Age</v>
          </cell>
          <cell r="E14" t="str">
            <v>Y</v>
          </cell>
          <cell r="F14" t="str">
            <v>Age of the first client in whole years.</v>
          </cell>
          <cell r="G14" t="str">
            <v>Y</v>
          </cell>
          <cell r="H14"/>
          <cell r="I14" t="str">
            <v>Recommendation Report, Financial Planning Questionnaire, Illustration Report, Pension Switch Analysis (PSA), Cashflow</v>
          </cell>
          <cell r="J14" t="str">
            <v>For each client, extract age mentions: "I am [X] years old", "I'm [X]", "[X]-year-old", "Age: [X]" or calculate from date of birth</v>
          </cell>
        </row>
        <row r="15">
          <cell r="D15" t="str">
            <v>Employment Status</v>
          </cell>
          <cell r="E15" t="str">
            <v>Y</v>
          </cell>
          <cell r="F15" t="str">
            <v>Employment status of the first client such as Employed, Self-employed, Retired</v>
          </cell>
          <cell r="G15" t="str">
            <v>Y</v>
          </cell>
          <cell r="H15"/>
          <cell r="I15" t="str">
            <v>Recommendation Report, Financial Planning Questionnaire</v>
          </cell>
          <cell r="J15" t="str">
            <v>For each client, extract enum from employment status or role mentioned and map on [Employed, Self-employed, Unemployed, Retired, Other]</v>
          </cell>
        </row>
        <row r="16">
          <cell r="D16" t="str">
            <v>Intended Retirement Age</v>
          </cell>
          <cell r="E16" t="str">
            <v>Y</v>
          </cell>
          <cell r="F16" t="str">
            <v>The Intended Retirement Age of client
Prsent in mutiple sections of FPQ( 'at what age do you anticipate retiring'? From Need Analysis Question)</v>
          </cell>
          <cell r="G16" t="str">
            <v>Y</v>
          </cell>
          <cell r="H16"/>
          <cell r="I16" t="str">
            <v>Recommendation Report, Financial Planning Questionnaire, Illustration Report, Ceding Scheme Info</v>
          </cell>
          <cell r="J16" t="str">
            <v>For each client, extract intended retirement age from transcript questions or forms</v>
          </cell>
        </row>
        <row r="17">
          <cell r="D17" t="str">
            <v>Occupation</v>
          </cell>
          <cell r="E17" t="str">
            <v>Y</v>
          </cell>
          <cell r="F17" t="str">
            <v>The occupation or job title of the client</v>
          </cell>
          <cell r="G17" t="str">
            <v>Y</v>
          </cell>
          <cell r="H17"/>
          <cell r="I17" t="str">
            <v>Recommendation Report, Financial Planning Questionnaire</v>
          </cell>
          <cell r="J17" t="str">
            <v>For each client, extract occupation or loof for references like "I am a"</v>
          </cell>
        </row>
        <row r="18">
          <cell r="D18" t="str">
            <v>Marital Status</v>
          </cell>
          <cell r="E18" t="str">
            <v>Y</v>
          </cell>
          <cell r="F18" t="str">
            <v>The marital status of the client, such as Single, Married, Divorced, or Widow.</v>
          </cell>
          <cell r="G18" t="str">
            <v>Y</v>
          </cell>
          <cell r="H18"/>
          <cell r="I18" t="str">
            <v>Recommendation Report, Financial Planning Questionnaire</v>
          </cell>
          <cell r="J18" t="str">
            <v>For each client, extract enum from marital status and map on  [Single, Married, Divorced, Widowed]</v>
          </cell>
        </row>
        <row r="19">
          <cell r="D19" t="str">
            <v>Family Members</v>
          </cell>
          <cell r="E19" t="str">
            <v>Y</v>
          </cell>
          <cell r="F19" t="str">
            <v>No of family members of the client</v>
          </cell>
          <cell r="G19" t="str">
            <v>Y</v>
          </cell>
          <cell r="H19"/>
          <cell r="I19" t="str">
            <v>Recommendation Report, Financial Planning Questionnaire</v>
          </cell>
          <cell r="J19" t="str">
            <v>For each client, extract explicit count of family members</v>
          </cell>
        </row>
        <row r="20">
          <cell r="D20" t="str">
            <v>No of Dependents</v>
          </cell>
          <cell r="E20" t="str">
            <v>Y</v>
          </cell>
          <cell r="F20" t="str">
            <v>No of  family members that are financially dependent on the client</v>
          </cell>
          <cell r="G20" t="str">
            <v>Y</v>
          </cell>
          <cell r="H20"/>
          <cell r="I20" t="str">
            <v>Recommendation Report, Financial Planning Questionnaire</v>
          </cell>
          <cell r="J20" t="str">
            <v>For each client, extract explicit count of number of dependents</v>
          </cell>
        </row>
        <row r="21">
          <cell r="D21" t="str">
            <v>Country of Residence</v>
          </cell>
          <cell r="E21" t="str">
            <v>Y</v>
          </cell>
          <cell r="F21" t="str">
            <v>Country of Residence of the client</v>
          </cell>
          <cell r="G21" t="str">
            <v>Y</v>
          </cell>
          <cell r="H21"/>
          <cell r="I21" t="str">
            <v>Recommendation Report, Financial Planning Questionnaire</v>
          </cell>
          <cell r="J21" t="str">
            <v>For each client, extract country of residence from transcript questions or forms</v>
          </cell>
        </row>
        <row r="22">
          <cell r="D22" t="str">
            <v>UK Resident For Tax</v>
          </cell>
          <cell r="E22" t="str">
            <v>Y</v>
          </cell>
          <cell r="F22" t="str">
            <v>Yes/No</v>
          </cell>
          <cell r="G22" t="str">
            <v>Y</v>
          </cell>
          <cell r="H22"/>
          <cell r="I22" t="str">
            <v>Financial Planning Questionnaire</v>
          </cell>
          <cell r="J22" t="str">
            <v>For each client, extract enum from UK resident for tax and map on [Yes, No]</v>
          </cell>
        </row>
        <row r="23">
          <cell r="D23" t="str">
            <v>UK Domicile</v>
          </cell>
          <cell r="E23" t="str">
            <v>Y</v>
          </cell>
          <cell r="F23" t="str">
            <v>Yes/No</v>
          </cell>
          <cell r="G23" t="str">
            <v>Y</v>
          </cell>
          <cell r="H23"/>
          <cell r="I23" t="str">
            <v>Financial Planning Questionnaire</v>
          </cell>
          <cell r="J23" t="str">
            <v>For each client, extract enum from UK Domicile and map on [Yes, No]</v>
          </cell>
        </row>
        <row r="24">
          <cell r="D24" t="str">
            <v>Accomodation type</v>
          </cell>
          <cell r="E24" t="str">
            <v>Y</v>
          </cell>
          <cell r="F24" t="str">
            <v>Owned/Rent</v>
          </cell>
          <cell r="G24" t="str">
            <v>Y</v>
          </cell>
          <cell r="H24"/>
          <cell r="I24" t="str">
            <v>Financial Planning Questionnaire</v>
          </cell>
          <cell r="J24" t="str">
            <v>For each client, extract enum from accomodation type and map on [Owned, Rent]</v>
          </cell>
        </row>
        <row r="25">
          <cell r="D25" t="str">
            <v>Have you made a Will</v>
          </cell>
          <cell r="E25" t="str">
            <v>Y</v>
          </cell>
          <cell r="F25" t="str">
            <v>Indicates whether the client has created a legal will. It is a document that specifies how their assets should be distributed after their death. Possible values: 'Yes' or 'No'</v>
          </cell>
          <cell r="G25" t="str">
            <v>Y</v>
          </cell>
          <cell r="H25"/>
          <cell r="I25" t="str">
            <v>Recommendation Report, Financial Planning Questionnaire</v>
          </cell>
          <cell r="J25" t="str">
            <v>For each client, extract enum from have you made a will and map on [Yes, No]</v>
          </cell>
        </row>
        <row r="26">
          <cell r="D26" t="str">
            <v>Are your Wills up to date</v>
          </cell>
          <cell r="E26" t="str">
            <v>Y</v>
          </cell>
          <cell r="F26" t="str">
            <v>Indicates whether the client's will is current and reflects their latest wishes. Possible values: 'Yes' or 'No'</v>
          </cell>
          <cell r="G26" t="str">
            <v>Y</v>
          </cell>
          <cell r="H26"/>
          <cell r="I26" t="str">
            <v>Recommendation Report, Financial Planning Questionnaire</v>
          </cell>
          <cell r="J26" t="str">
            <v>For each client, extract enum from are your wills up to date and map on [Yes, No]</v>
          </cell>
        </row>
        <row r="27">
          <cell r="D27" t="str">
            <v>Income required in Retirement</v>
          </cell>
          <cell r="E27" t="str">
            <v>Y</v>
          </cell>
          <cell r="F27" t="str">
            <v>Captures the expected Income required by client in Retirement</v>
          </cell>
          <cell r="G27" t="str">
            <v>Y</v>
          </cell>
          <cell r="H27"/>
          <cell r="I27" t="str">
            <v/>
          </cell>
          <cell r="J27" t="str">
            <v>For each client, extract explicit figure on expected retirement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28">
          <cell r="D28" t="str">
            <v>State of Health</v>
          </cell>
          <cell r="E28" t="str">
            <v>Y</v>
          </cell>
          <cell r="F28" t="str">
            <v>Describes the client's overall physical and mental health condition as stated in the document.</v>
          </cell>
          <cell r="G28" t="str">
            <v>Y</v>
          </cell>
          <cell r="H28"/>
          <cell r="I28" t="str">
            <v>Recommendation Report, Financial Planning Questionnaire</v>
          </cell>
          <cell r="J28" t="str">
            <v>For each client, extract statement or quote on physical/mental health status</v>
          </cell>
        </row>
        <row r="29">
          <cell r="D29" t="str">
            <v>Is Vulnerable Client</v>
          </cell>
          <cell r="E29" t="str">
            <v>Y</v>
          </cell>
          <cell r="F29" t="str">
            <v>Indicates wherther the Client is Vulnerable. Possible values: Yes or No</v>
          </cell>
          <cell r="G29" t="str">
            <v>Y</v>
          </cell>
          <cell r="H29"/>
          <cell r="I29" t="str">
            <v>Recommendation Report, Financial Planning Questionnaire</v>
          </cell>
          <cell r="J29" t="str">
            <v>For each client, extract enum from client vulnerability or regulatory criteria check and map on [Yes, No]</v>
          </cell>
        </row>
        <row r="30">
          <cell r="D30" t="str">
            <v>Director</v>
          </cell>
          <cell r="E30" t="str">
            <v>Y</v>
          </cell>
          <cell r="F30" t="str">
            <v>Check if the Employment status is  Self employed and/or occupation = Director and/or Check from notes</v>
          </cell>
          <cell r="G30" t="str">
            <v>Y</v>
          </cell>
          <cell r="H30"/>
          <cell r="I30" t="str">
            <v>Financial Planning Questionnaire</v>
          </cell>
          <cell r="J30" t="str">
            <v>For each client, check if Employment Status is Self-employed or Occupation is "Director" or explicit mention in notes. If any are true, set as "Yes"; otherwise, "No"</v>
          </cell>
        </row>
        <row r="31">
          <cell r="D31" t="str">
            <v>Address</v>
          </cell>
          <cell r="E31" t="str">
            <v>Y</v>
          </cell>
          <cell r="F31" t="str">
            <v>Extract the Address from Smart Search Report and Financial Planning Questionnaire</v>
          </cell>
          <cell r="G31" t="str">
            <v>Y</v>
          </cell>
          <cell r="H31"/>
          <cell r="I31" t="str">
            <v>Financial Planning Questionnaire, SmartSearch</v>
          </cell>
          <cell r="J31" t="str">
            <v>For each client, extract the address from either the Smart Search Report or the Financial Planning Questionnaire</v>
          </cell>
        </row>
        <row r="32">
          <cell r="D32" t="str">
            <v>Vulnerable Indicator</v>
          </cell>
          <cell r="E32" t="str">
            <v>Y</v>
          </cell>
          <cell r="F32" t="str">
            <v>Set this field to “Yes” only if there is a recent indication (within the last 12 months) that the client is experiencing one or more of the following situations:
Bereavement (loss of a loved one)
Divorce or separation
Job loss or redundancy
Serious or critical illness (e.g., cancer)
Mental health challenges
If there is no indication within the last year, set the field to “No.</v>
          </cell>
          <cell r="G32" t="str">
            <v>Y</v>
          </cell>
          <cell r="H32"/>
          <cell r="I32" t="str">
            <v>Recommendation Report, Financial Planning Questionnaire</v>
          </cell>
          <cell r="J32" t="str">
            <v>For each client, set to “Yes” only if there is evidence in the transcript or notes of a qualifying event within the last 12 months: bereavement, divorce/separation, job loss/redundancy, serious/critical illness, or mental health challenges. Otherwise, set to “No”</v>
          </cell>
        </row>
        <row r="33">
          <cell r="D33" t="str">
            <v>Section Header</v>
          </cell>
          <cell r="E33" t="str">
            <v>N</v>
          </cell>
          <cell r="G33" t="str">
            <v>N</v>
          </cell>
          <cell r="H33" t="str">
            <v>Static</v>
          </cell>
          <cell r="I33" t="str">
            <v>NA</v>
          </cell>
          <cell r="J33" t="str">
            <v>NA</v>
          </cell>
        </row>
        <row r="34">
          <cell r="D34" t="str">
            <v>Total Net Monthly Income</v>
          </cell>
          <cell r="E34" t="str">
            <v>Y</v>
          </cell>
          <cell r="F34" t="str">
            <v>The client's total net monthly income, as stated in the document.</v>
          </cell>
          <cell r="G34" t="str">
            <v>Y</v>
          </cell>
          <cell r="H34"/>
          <cell r="I34" t="str">
            <v>Recommendation Report, Financial Planning Questionnaire</v>
          </cell>
          <cell r="J34" t="str">
            <v>For each client, extract stated or calculated net monthly income from transcript/forms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5">
          <cell r="D35" t="str">
            <v>Total Monthly Expenditure</v>
          </cell>
          <cell r="E35" t="str">
            <v>Y</v>
          </cell>
          <cell r="F35" t="str">
            <v>The client's total monthly expenditure as stated in the document.</v>
          </cell>
          <cell r="G35" t="str">
            <v>Y</v>
          </cell>
          <cell r="H35"/>
          <cell r="I35" t="str">
            <v>Recommendation Report, Financial Planning Questionnaire</v>
          </cell>
          <cell r="J35" t="str">
            <v>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6">
          <cell r="D36" t="str">
            <v>Mortgages &amp; Rent</v>
          </cell>
          <cell r="E36" t="str">
            <v>Y</v>
          </cell>
          <cell r="F36" t="str">
            <v>Mortgages &amp; Rent</v>
          </cell>
          <cell r="G36" t="str">
            <v>Y</v>
          </cell>
          <cell r="H36"/>
          <cell r="I36" t="str">
            <v>Financial Planning Questionnaire</v>
          </cell>
          <cell r="J36" t="str">
            <v>For each client, extract monthly mortgage or rent payments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7">
          <cell r="D37" t="str">
            <v>Loans &amp; Credit</v>
          </cell>
          <cell r="E37" t="str">
            <v>Y</v>
          </cell>
          <cell r="F37" t="str">
            <v>Loans &amp; Credit</v>
          </cell>
          <cell r="G37" t="str">
            <v>Y</v>
          </cell>
          <cell r="H37"/>
          <cell r="I37" t="str">
            <v>Financial Planning Questionnaire</v>
          </cell>
          <cell r="J37" t="str">
            <v>For each client, extract amount paid for loans/credit each month or outstanding balance if only a lump-sum figure is given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8">
          <cell r="D38" t="str">
            <v>Pensions, Savings &amp; Insurance</v>
          </cell>
          <cell r="E38" t="str">
            <v>Y</v>
          </cell>
          <cell r="F38" t="str">
            <v>Pensions, Savings &amp; Insurance</v>
          </cell>
          <cell r="G38" t="str">
            <v>Y</v>
          </cell>
          <cell r="H38"/>
          <cell r="I38" t="str">
            <v>Financial Planning Questionnaire</v>
          </cell>
          <cell r="J38" t="str">
            <v>For each client, extract total contributions/payments for pensions, savings, and insurance each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9">
          <cell r="D39" t="str">
            <v>Household &amp; Utilities</v>
          </cell>
          <cell r="E39" t="str">
            <v>Y</v>
          </cell>
          <cell r="F39" t="str">
            <v>Household &amp; Utilities</v>
          </cell>
          <cell r="G39" t="str">
            <v>Y</v>
          </cell>
          <cell r="H39"/>
          <cell r="I39" t="str">
            <v>Financial Planning Questionnaire</v>
          </cell>
          <cell r="J39" t="str">
            <v>For each client, extract monthly household and utilities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0">
          <cell r="D40" t="str">
            <v>Travel &amp; Transport</v>
          </cell>
          <cell r="E40" t="str">
            <v>Y</v>
          </cell>
          <cell r="F40" t="str">
            <v>Travel &amp; Transport</v>
          </cell>
          <cell r="G40" t="str">
            <v>Y</v>
          </cell>
          <cell r="H40"/>
          <cell r="I40" t="str">
            <v>Financial Planning Questionnaire</v>
          </cell>
          <cell r="J40" t="str">
            <v>For each client, extract travel and transport monthly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1">
          <cell r="D41" t="str">
            <v>Discretionary &amp; Leisure</v>
          </cell>
          <cell r="E41" t="str">
            <v>Y</v>
          </cell>
          <cell r="F41" t="str">
            <v>Discretionary &amp; Leisure</v>
          </cell>
          <cell r="G41" t="str">
            <v>Y</v>
          </cell>
          <cell r="H41"/>
          <cell r="I41" t="str">
            <v>Financial Planning Questionnaire</v>
          </cell>
          <cell r="J41" t="str">
            <v>For each client, extract non-essential/leisure/discretionary spending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2">
          <cell r="D42" t="str">
            <v>Child Care</v>
          </cell>
          <cell r="E42" t="str">
            <v>Y</v>
          </cell>
          <cell r="F42" t="str">
            <v>Child Care</v>
          </cell>
          <cell r="G42" t="str">
            <v>Y</v>
          </cell>
          <cell r="H42"/>
          <cell r="I42" t="str">
            <v>Financial Planning Questionnaire</v>
          </cell>
          <cell r="J42" t="str">
            <v>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3">
          <cell r="D43" t="str">
            <v>All household expenditure</v>
          </cell>
          <cell r="E43" t="str">
            <v>Y</v>
          </cell>
          <cell r="F43" t="str">
            <v>All household expenditure</v>
          </cell>
          <cell r="G43" t="str">
            <v>Y</v>
          </cell>
          <cell r="H43"/>
          <cell r="I43" t="str">
            <v>Financial Planning Questionnaire</v>
          </cell>
          <cell r="J43" t="str">
            <v>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4">
          <cell r="D44" t="str">
            <v xml:space="preserve"> Monthly Surplus Income</v>
          </cell>
          <cell r="E44" t="str">
            <v>Y</v>
          </cell>
          <cell r="F44" t="str">
            <v>The client's monthly surplus income, which is generally computed by subtracting Total Monthly Expenditure from Total Net Monthly Income.</v>
          </cell>
          <cell r="G44" t="str">
            <v>Y</v>
          </cell>
          <cell r="H44"/>
          <cell r="I44" t="str">
            <v>Recommendation Report, Financial Planning Questionnaire</v>
          </cell>
          <cell r="J44" t="str">
            <v>For each client, calculate or extract if explicitly stated any monthly surplus income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5">
          <cell r="D45" t="str">
            <v>Total Assets</v>
          </cell>
          <cell r="E45" t="str">
            <v>Y</v>
          </cell>
          <cell r="F45" t="str">
            <v xml:space="preserve">The total value of all assets owned by the client, including cash, investments, real estate, vehicles, and other possessions of value. </v>
          </cell>
          <cell r="G45" t="str">
            <v>Y</v>
          </cell>
          <cell r="H45"/>
          <cell r="I45" t="str">
            <v>Recommendation Report, Financial Planning Questionnaire</v>
          </cell>
          <cell r="J45" t="str">
            <v>For each client, extract stated asset total or sum all stated individual asset fields</v>
          </cell>
        </row>
        <row r="46">
          <cell r="D46" t="str">
            <v>Home</v>
          </cell>
          <cell r="E46" t="str">
            <v>Y</v>
          </cell>
          <cell r="F46" t="str">
            <v>The monetary value of the client's home.</v>
          </cell>
          <cell r="G46" t="str">
            <v>Y</v>
          </cell>
          <cell r="H46"/>
          <cell r="I46" t="str">
            <v>Recommendation Report, Financial Planning Questionnaire</v>
          </cell>
          <cell r="J46" t="str">
            <v>For each client, extract current stated or appraised value of main residence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7">
          <cell r="D47" t="str">
            <v>Other Property</v>
          </cell>
          <cell r="E47" t="str">
            <v>Y</v>
          </cell>
          <cell r="F47" t="str">
            <v>The monetary value of any additional properties owned by the client apart from the primary residence, such as vacation homes or rental properties.</v>
          </cell>
          <cell r="G47" t="str">
            <v>Y</v>
          </cell>
          <cell r="H47"/>
          <cell r="I47" t="str">
            <v>Recommendation Report, Financial Planning Questionnaire</v>
          </cell>
          <cell r="J47" t="str">
            <v>For each client, extract total value of all non-primary properties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8">
          <cell r="D48" t="str">
            <v xml:space="preserve">Cash </v>
          </cell>
          <cell r="E48" t="str">
            <v>Y</v>
          </cell>
          <cell r="F48" t="str">
            <v>The total cash holdings of the client, including physical cash and funds in checking/savings accounts.</v>
          </cell>
          <cell r="G48" t="str">
            <v>Y</v>
          </cell>
          <cell r="H48"/>
          <cell r="I48" t="str">
            <v>Recommendation Report, Financial Planning Questionnaire</v>
          </cell>
          <cell r="J48" t="str">
            <v>For each client, extract or sum all accounts identified as cash or equivalent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9">
          <cell r="D49" t="str">
            <v>Investment Bonds</v>
          </cell>
          <cell r="E49" t="str">
            <v>Y</v>
          </cell>
          <cell r="F49" t="str">
            <v>The total value of the client's holdings in investment bonds.</v>
          </cell>
          <cell r="G49" t="str">
            <v>Y</v>
          </cell>
          <cell r="H49"/>
          <cell r="I49" t="str">
            <v>Recommendation Report, Financial Planning Questionnaire</v>
          </cell>
          <cell r="J49" t="str">
            <v>For each client, extract or sum all holdings classified as investment bonds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0">
          <cell r="D50" t="str">
            <v>Pension Funds</v>
          </cell>
          <cell r="E50" t="str">
            <v>Y</v>
          </cell>
          <cell r="F50" t="str">
            <v xml:space="preserve">The total value of the client's pension funds, including workplace pensions, private pensions, and any other retirement savings plans. </v>
          </cell>
          <cell r="G50" t="str">
            <v>Y</v>
          </cell>
          <cell r="H50"/>
          <cell r="I50" t="str">
            <v>Recommendation Report, Financial Planning Questionnaire</v>
          </cell>
          <cell r="J50" t="str">
            <v>For each client, extract sum or stated value of pension holdings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1">
          <cell r="D51" t="str">
            <v>NISAs</v>
          </cell>
          <cell r="E51" t="str">
            <v>Y</v>
          </cell>
          <cell r="F51" t="str">
            <v>The total value of the client's NISAs (New Individual Savings Accounts)</v>
          </cell>
          <cell r="G51" t="str">
            <v>Y</v>
          </cell>
          <cell r="H51"/>
          <cell r="I51" t="str">
            <v>Recommendation Report, Financial Planning Questionnaire</v>
          </cell>
          <cell r="J51" t="str">
            <v>For each client, extract or sum all NISA account values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2">
          <cell r="D52" t="str">
            <v>Unit /InvestmentTrustsOEICS</v>
          </cell>
          <cell r="E52" t="str">
            <v>Y</v>
          </cell>
          <cell r="F52" t="str">
            <v>The total value of the client's holdings in Unit Trusts, Investment Trusts, or OEICs (Open-Ended Investment Companies).</v>
          </cell>
          <cell r="G52" t="str">
            <v>Y</v>
          </cell>
          <cell r="H52"/>
          <cell r="I52" t="str">
            <v>Recommendation Report, Financial Planning Questionnaire</v>
          </cell>
          <cell r="J52" t="str">
            <v>For each client, extract combined or individual values for all Unit Trusts, Investment Trusts or OEICs (Open-Ended Investment Companies) products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3">
          <cell r="D53" t="str">
            <v>Shares</v>
          </cell>
          <cell r="E53" t="str">
            <v>Y</v>
          </cell>
          <cell r="F53" t="str">
            <v xml:space="preserve">The total value of the client's shareholdings, including listed and unlisted company shares. </v>
          </cell>
          <cell r="G53" t="str">
            <v>Y</v>
          </cell>
          <cell r="H53"/>
          <cell r="I53" t="str">
            <v>Recommendation Report, Financial Planning Questionnaire</v>
          </cell>
          <cell r="J53" t="str">
            <v>For each client, extract or sum holdings in shares (public or private)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4">
          <cell r="D54" t="str">
            <v>Business Assets</v>
          </cell>
          <cell r="E54" t="str">
            <v>Y</v>
          </cell>
          <cell r="F54" t="str">
            <v>The total value of the client's business assets, including ownership stakes, business property, and any other business-related holdings.</v>
          </cell>
          <cell r="G54" t="str">
            <v>Y</v>
          </cell>
          <cell r="H54"/>
          <cell r="I54" t="str">
            <v>Recommendation Report, Financial Planning Questionnaire</v>
          </cell>
          <cell r="J54" t="str">
            <v>For each client, extract explicit values for business holdings or related property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5">
          <cell r="D55" t="str">
            <v>All Other Assets</v>
          </cell>
          <cell r="E55" t="str">
            <v>Y</v>
          </cell>
          <cell r="F55" t="str">
            <v>The total value of all other assets owned by the client that are not listed in other asset categories.</v>
          </cell>
          <cell r="G55" t="str">
            <v>Y</v>
          </cell>
          <cell r="H55"/>
          <cell r="I55" t="str">
            <v>Recommendation Report, Financial Planning Questionnaire</v>
          </cell>
          <cell r="J55" t="str">
            <v>For each client, extract any stated value for assets not otherwise assigned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6">
          <cell r="D56" t="str">
            <v>Total Liabilities</v>
          </cell>
          <cell r="E56" t="str">
            <v>Y</v>
          </cell>
          <cell r="F56" t="str">
            <v>The total value of all liabilities owed by the client, including mortgages, loans, credit card debts, and other outstanding obligations.</v>
          </cell>
          <cell r="G56" t="str">
            <v>Y</v>
          </cell>
          <cell r="H56"/>
          <cell r="I56" t="str">
            <v>Recommendation Report, Financial Planning Questionnaire</v>
          </cell>
          <cell r="J56" t="str">
            <v>For each client, extract or sum all liabilities including mortgage, loans, cards, overdraft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7">
          <cell r="D57" t="str">
            <v xml:space="preserve">Mortgage -  (main residence) </v>
          </cell>
          <cell r="E57" t="str">
            <v>Y</v>
          </cell>
          <cell r="F57" t="str">
            <v xml:space="preserve">The outstanding mortgage balance for the client's primary residence. </v>
          </cell>
          <cell r="G57" t="str">
            <v>Y</v>
          </cell>
          <cell r="H57"/>
          <cell r="I57" t="str">
            <v>Recommendation Report, Financial Planning Questionnaire</v>
          </cell>
          <cell r="J57" t="str">
            <v>For each client, extract or sum all stated main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8">
          <cell r="D58" t="str">
            <v>Mortgage (other property)</v>
          </cell>
          <cell r="E58" t="str">
            <v>Y</v>
          </cell>
          <cell r="F58" t="str">
            <v>The outstanding mortgage balance for any other property owned by the client, such as second homes, investment properties, or holiday homes.</v>
          </cell>
          <cell r="G58" t="str">
            <v>Y</v>
          </cell>
          <cell r="H58"/>
          <cell r="I58" t="str">
            <v>Recommendation Report, Financial Planning Questionnaire</v>
          </cell>
          <cell r="J58" t="str">
            <v>For each client, extract or sum all stated other property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9">
          <cell r="D59" t="str">
            <v>Credit Cards</v>
          </cell>
          <cell r="E59" t="str">
            <v>Y</v>
          </cell>
          <cell r="F59" t="str">
            <v>The total outstanding balance on all credit cards held by the client.</v>
          </cell>
          <cell r="G59" t="str">
            <v>Y</v>
          </cell>
          <cell r="H59"/>
          <cell r="I59" t="str">
            <v>Recommendation Report, Financial Planning Questionnaire</v>
          </cell>
          <cell r="J59" t="str">
            <v>For each client, extract sum or explicit statement of credit card debt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0">
          <cell r="D60" t="str">
            <v>Overdraft</v>
          </cell>
          <cell r="E60" t="str">
            <v>Y</v>
          </cell>
          <cell r="F60" t="str">
            <v>The overdraft amount held by the client.</v>
          </cell>
          <cell r="G60" t="str">
            <v>Y</v>
          </cell>
          <cell r="H60"/>
          <cell r="I60" t="str">
            <v>Recommendation Report, Financial Planning Questionnaire</v>
          </cell>
          <cell r="J60" t="str">
            <v>For each client, extract stated overdraft amount if present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1">
          <cell r="D61" t="str">
            <v>Loans(Education/Vehicle) -  Car finance &amp;  Loans / HP</v>
          </cell>
          <cell r="E61" t="str">
            <v>Y</v>
          </cell>
          <cell r="F61" t="str">
            <v xml:space="preserve">Loans related to education, vehicles, car finance or hire purchase (HP). </v>
          </cell>
          <cell r="G61" t="str">
            <v>Y</v>
          </cell>
          <cell r="H61"/>
          <cell r="I61" t="str">
            <v>Recommendation Report, Financial Planning Questionnaire</v>
          </cell>
          <cell r="J61" t="str">
            <v>For each client, extract the sum of any loans mentioned in the transcript as being for education costs, vehicle finance (car/motorbike), or hire purchase (HP)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2">
          <cell r="D62" t="str">
            <v>Net Worth</v>
          </cell>
          <cell r="E62" t="str">
            <v>Y</v>
          </cell>
          <cell r="F62" t="str">
            <v>Net worth (Total Assets - Total Liabilities)</v>
          </cell>
          <cell r="G62" t="str">
            <v>Y</v>
          </cell>
          <cell r="H62"/>
          <cell r="I62" t="str">
            <v>Financial Planning Questionnaire</v>
          </cell>
          <cell r="J62" t="str">
            <v>For each client, calculate if both assets and liabilities given, or extract explicit net worth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3">
          <cell r="D63" t="str">
            <v>Client Objectives</v>
          </cell>
          <cell r="E63" t="str">
            <v>Y</v>
          </cell>
          <cell r="F63" t="str">
            <v>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v>
          </cell>
          <cell r="G63" t="str">
            <v>Y</v>
          </cell>
          <cell r="H63"/>
          <cell r="I63" t="str">
            <v>Financial Planning Questionnaire</v>
          </cell>
          <cell r="J63" t="str">
            <v>For each client, extract all objectives mentioned in transcript/forms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v>
          </cell>
        </row>
        <row r="64">
          <cell r="D64" t="str">
            <v>Investment Objectives Summary</v>
          </cell>
          <cell r="E64" t="str">
            <v>Y</v>
          </cell>
          <cell r="F64" t="str">
            <v>Captures the client  agreed goals and objectives for investing, after having a discussion with advisor</v>
          </cell>
          <cell r="G64" t="str">
            <v>Y</v>
          </cell>
          <cell r="H64"/>
          <cell r="I64" t="str">
            <v>Recommendation Report</v>
          </cell>
          <cell r="J64" t="str">
            <v>For each client, extract only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v>
          </cell>
        </row>
        <row r="65">
          <cell r="D65" t="str">
            <v>Liquidity Needs</v>
          </cell>
          <cell r="E65" t="str">
            <v>Y</v>
          </cell>
          <cell r="F65" t="str">
            <v>Yes/No</v>
          </cell>
          <cell r="G65" t="str">
            <v>Y</v>
          </cell>
          <cell r="H65"/>
          <cell r="I65" t="str">
            <v>Cashflow</v>
          </cell>
          <cell r="J65" t="str">
            <v>For each client, extract enum from liquidity needs and map on [Yes, No]</v>
          </cell>
        </row>
        <row r="66">
          <cell r="D66" t="str">
            <v>Liquidity Need Amount</v>
          </cell>
          <cell r="E66" t="str">
            <v>Y</v>
          </cell>
          <cell r="F66" t="str">
            <v>How much cash is required</v>
          </cell>
          <cell r="G66" t="str">
            <v>Y</v>
          </cell>
          <cell r="H66"/>
          <cell r="I66" t="str">
            <v>Cashflow</v>
          </cell>
          <cell r="J66" t="str">
            <v>For each client, extract cash/liquid assets required as stated in planning or transcript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7">
          <cell r="D67" t="str">
            <v>Liquidity Need Purpose</v>
          </cell>
          <cell r="E67" t="str">
            <v>Y</v>
          </cell>
          <cell r="F67" t="str">
            <v>Why the money is needed</v>
          </cell>
          <cell r="G67" t="str">
            <v>Y</v>
          </cell>
          <cell r="H67"/>
          <cell r="I67" t="str">
            <v>Cashflow</v>
          </cell>
          <cell r="J67" t="str">
            <v>For each client, extract purpose of funds if specified in transcript ("for house deposit", "cover university fees")</v>
          </cell>
        </row>
        <row r="68">
          <cell r="D68" t="str">
            <v>Liquidity Time Horizon</v>
          </cell>
          <cell r="E68" t="str">
            <v>Y</v>
          </cell>
          <cell r="F68" t="str">
            <v>When the money will be needed(1 year/2 years)</v>
          </cell>
          <cell r="G68" t="str">
            <v>Y</v>
          </cell>
          <cell r="H68"/>
          <cell r="I68" t="str">
            <v>Cashflow</v>
          </cell>
          <cell r="J68" t="str">
            <v xml:space="preserve">For each client, extract timeframe until needed for liquidity, in years or period	</v>
          </cell>
        </row>
        <row r="69">
          <cell r="D69" t="str">
            <v>Notes</v>
          </cell>
          <cell r="E69" t="str">
            <v>Y</v>
          </cell>
          <cell r="F69" t="str">
            <v>Within FPQ, a commentary is captured on Client goals, objectives, financial circumstances, recommendation, etc, which needs to be extracted in this field</v>
          </cell>
          <cell r="G69" t="str">
            <v>Y</v>
          </cell>
          <cell r="H69"/>
          <cell r="I69" t="str">
            <v>Financial Planning Questionnaire</v>
          </cell>
          <cell r="J69" t="str">
            <v>For each client:
- Extract any narrative commentary recorded in the FPQ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v>
          </cell>
        </row>
        <row r="70">
          <cell r="D70" t="str">
            <v>Goals &amp; Purpose</v>
          </cell>
          <cell r="E70" t="str">
            <v>Y</v>
          </cell>
          <cell r="F70" t="str">
            <v>Extract the client’s stated goals or purpose for accessing the funds, such as capital growth, income, retirement, contingency, or funding a project.</v>
          </cell>
          <cell r="G70" t="str">
            <v>Y</v>
          </cell>
          <cell r="H70"/>
          <cell r="I70" t="str">
            <v>Recommendation Report, Financial Planning Questionnaire</v>
          </cell>
          <cell r="J70" t="str">
            <v>For each client:
-Extract all statements where the client (or adviser summarizing the client) explains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-If multiple distinct goals/purposes are found, list them sequentially as Goal 1, Goal 2, Goal 3, etc.
-List all in bullets in the order of importance (if stated or implied)
-Retain as much specific phrasing as possible (“to have flexibility and help my daughter buy first home” rather than “family support”) 
-Include negative/inverse goals if mentioned (“do not want my money locked up long term”)</v>
          </cell>
        </row>
        <row r="71">
          <cell r="D71" t="str">
            <v>Investment Amount for Goal</v>
          </cell>
          <cell r="E71" t="str">
            <v>Y</v>
          </cell>
          <cell r="F71" t="str">
            <v>Identify the specific monetary amount allocated or earmarked towards achieving each client goal.</v>
          </cell>
          <cell r="G71" t="str">
            <v>Y</v>
          </cell>
          <cell r="H71"/>
          <cell r="I71" t="str">
            <v>Recommendation Report, Financial Planning Questionnaire</v>
          </cell>
          <cell r="J71" t="str">
            <v>For each client's goal:
- Extract only statements where the client (or adviser summarizing the client) specifies a monetary amount tied to a particular goal or purpose.
- Include allocations for any valid goals (e.g., capital growth, income, retirement, contingency, project, debt, life event).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 Retain exact phrasing and figures where possible (e.g., “£50,000 for retirement” rather than “retirement allocation”).
- Exclude vague or non-specific references (e.g., “some money for later” without a clear amount).
- Record negative/inverse allocations if stated (e.g., “no funds allocated to debt repayment”)
- Apply the rule independently to each goal, so multiple goals can each have their own timeframe</v>
          </cell>
        </row>
        <row r="72">
          <cell r="D72" t="str">
            <v>Time Horizon for Goal</v>
          </cell>
          <cell r="E72" t="str">
            <v>Y</v>
          </cell>
          <cell r="F72" t="str">
            <v>Capture the expected timeframe for the goal, e.g., immediate, short-term, medium-term, or long-term.</v>
          </cell>
          <cell r="G72" t="str">
            <v>Y</v>
          </cell>
          <cell r="H72"/>
          <cell r="I72" t="str">
            <v>Recommendation Report, Financial Planning Questionnaire</v>
          </cell>
          <cell r="J72" t="str">
            <v>For each client's goal:
- Extract only statements where the client (or adviser summarizing the client) specifies the expected timeframe for achieving or funding that specific goal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v>
          </cell>
        </row>
        <row r="73">
          <cell r="D73" t="str">
            <v>Investment Portfolio/Product for the Goal</v>
          </cell>
          <cell r="E73" t="str">
            <v>Y</v>
          </cell>
          <cell r="F73" t="str">
            <v>Extract any mentioned investment type, product, or portfolio linked to the goal, e.g., deposit, growth portfolio, annuity, ISA, pension.</v>
          </cell>
          <cell r="G73" t="str">
            <v>Y</v>
          </cell>
          <cell r="H73"/>
          <cell r="I73" t="str">
            <v>Recommendation Report, Financial Planning Questionnaire</v>
          </cell>
          <cell r="J73" t="str">
            <v>For each client’s goal:
- Extract only statements where the client (or adviser summarizing the client) specifies an investment type, product, or portfolio directly associated with that goal.
- Include any of the following categories if directly stated or clearly implied: [Deposit; Growth portfolio; Annuity; ISA (Individual Savings Account; Pension; Other recognized investment products (e.g., bonds, equities, mutual funds, ETFs)]
-If risk label, time horizon, or product subclass is mentioned, append detail in parentheses (e.g. “ISA (Stocks &amp; Shares)”)
- Exclude vague or non-specific references (e.g., “some product,” “general investing,” “whatever works”)
- Retain as much specific phrasing as possible (e.g., “corporate bond fund” rather than just “bond”)
- Include negative/inverse statements if mentioned (e.g., “do not want an annuity”)</v>
          </cell>
        </row>
        <row r="74">
          <cell r="D74" t="str">
            <v>Do you wish to make new contributions or review existing plans?</v>
          </cell>
          <cell r="E74" t="str">
            <v>Y</v>
          </cell>
          <cell r="F74" t="str">
            <v>Identify wheter it is a new contribution, review existing plans or both</v>
          </cell>
          <cell r="G74" t="str">
            <v>Y</v>
          </cell>
          <cell r="H74"/>
          <cell r="I74" t="str">
            <v>Financial Planning Questionnaire</v>
          </cell>
          <cell r="J74" t="str">
            <v>For each client, extract enum for explicit intent regarding contributions and plan review and map on [New Contribution, Review Existing, Both]</v>
          </cell>
        </row>
        <row r="75">
          <cell r="D75" t="str">
            <v>Goal Name</v>
          </cell>
          <cell r="E75"/>
          <cell r="F75" t="str">
            <v>The short title or label the client gives to their financial objective</v>
          </cell>
          <cell r="G75"/>
          <cell r="H75"/>
          <cell r="I75"/>
          <cell r="J75" t="str">
            <v xml:space="preserve">For each client goal:
-Extract the short title or label provided by the client (or adviser summarizing) explaining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-Retain as much specific phrasing as possible (“to have flexibility and help my daughter buy first home” rather than “family support”) </v>
          </cell>
        </row>
        <row r="76">
          <cell r="D76" t="str">
            <v>Goal Description</v>
          </cell>
          <cell r="E76"/>
          <cell r="F76" t="str">
            <v>A more detailed sentence explaining the specifics or context of the goal</v>
          </cell>
          <cell r="G76"/>
          <cell r="H76"/>
          <cell r="I76"/>
          <cell r="J76" t="str">
            <v>For each client goal:
- Extract a more detailed sentence explaining the specifics or context of the goal
- Retain full phrasing as provided (e.g., “to build a retirement fund that covers living expenses after age 65”)
- Exclude vague or non‑specific text (e.g., “just saving for later”)
- Capture both positive and negative context (e.g., “not intended for short‑term use”)</v>
          </cell>
        </row>
        <row r="77">
          <cell r="D77" t="str">
            <v>Priority Level</v>
          </cell>
          <cell r="E77"/>
          <cell r="F77" t="str">
            <v xml:space="preserve">The client's ranking of the goal's importance [High, Medium, Low], often numerically or with a descriptive term </v>
          </cell>
          <cell r="G77"/>
          <cell r="H77"/>
          <cell r="I77"/>
          <cell r="J77" t="str">
            <v>For each client goal:
- Extract the client’s stated ranking of the goal’s importance.
- Only allow values from the enumeration set: [High, Medium, Low].
- Normalize synonyms or numeric rankings into one of the three allowed values (“Top priority,” “Critical,” “1” → High; “Secondary,” “Moderate,” “2” → Medium; “Least important,” “Low priority,” “3” → Low)
- Exclude vague or non‑specific statements (e.g., “all goals are important” without ranking).</v>
          </cell>
        </row>
        <row r="78">
          <cell r="D78" t="str">
            <v>Goal Owner</v>
          </cell>
          <cell r="E78"/>
          <cell r="F78" t="str">
            <v>The specific individual(s) responsible for or assigned to this goal within the financial plan</v>
          </cell>
          <cell r="G78"/>
          <cell r="H78"/>
          <cell r="I78"/>
          <cell r="J78" t="str">
            <v>For each client goal: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v>
          </cell>
        </row>
        <row r="79">
          <cell r="D79" t="str">
            <v>Start Date</v>
          </cell>
          <cell r="E79"/>
          <cell r="F79" t="str">
            <v>The date or timeframe when the client intends to begin saving or investing for this goal</v>
          </cell>
          <cell r="G79"/>
          <cell r="H79"/>
          <cell r="I79"/>
          <cell r="J79" t="str">
            <v>For each client goal: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v>
          </cell>
        </row>
        <row r="80">
          <cell r="D80" t="str">
            <v>Goal Target Horizon</v>
          </cell>
          <cell r="E80"/>
          <cell r="F80" t="str">
            <v>The point in time when the client needs the goal achieved. Can be a specific date, a duration from now, or a target age</v>
          </cell>
          <cell r="G80"/>
          <cell r="H80"/>
          <cell r="I80"/>
          <cell r="J80" t="str">
            <v>For each client goal: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v>
          </cell>
        </row>
        <row r="81">
          <cell r="D81" t="str">
            <v>Flexibility of timing</v>
          </cell>
          <cell r="E81"/>
          <cell r="F81" t="str">
            <v>How much the 'End Date' can be shifted. Is the date firm (inflexible) or can it be postponed (flexible)</v>
          </cell>
          <cell r="G81"/>
          <cell r="H81"/>
          <cell r="I81"/>
          <cell r="J81" t="str">
            <v>For each client goal: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v>
          </cell>
        </row>
        <row r="82">
          <cell r="D82" t="str">
            <v>Target Corpus</v>
          </cell>
          <cell r="E82"/>
          <cell r="F82" t="str">
            <v>The total final monetary amount the client aims to accumulate for the goal</v>
          </cell>
          <cell r="G82"/>
          <cell r="H82"/>
          <cell r="I82"/>
          <cell r="J82" t="str">
            <v>For each client goal: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v>
          </cell>
        </row>
        <row r="83">
          <cell r="D83" t="str">
            <v>Any current investments towards the goal</v>
          </cell>
          <cell r="E83"/>
          <cell r="F83" t="str">
            <v>The value of existing savings or investments already allocated to this specific goal</v>
          </cell>
          <cell r="G83"/>
          <cell r="H83"/>
          <cell r="I83"/>
          <cell r="J83" t="str">
            <v>For each client goal:
Extract the value of any existing savings or investments that the client states are already allocated to that specific goal (e.g., “I already have £5,000 put aside for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v>
          </cell>
        </row>
        <row r="84">
          <cell r="D84" t="str">
            <v>Investment Contribution Mode (lumpsum or periodic)</v>
          </cell>
          <cell r="E84"/>
          <cell r="F84" t="str">
            <v>The client's preferred method of funding this specific goal, either through regular contributions (periodic) or single transfers (lumpsum)</v>
          </cell>
          <cell r="G84"/>
          <cell r="H84"/>
          <cell r="I84"/>
          <cell r="J84" t="str">
            <v>For each client goal: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v>
          </cell>
        </row>
        <row r="85">
          <cell r="D85" t="str">
            <v>Available monthly surplus</v>
          </cell>
          <cell r="E85"/>
          <cell r="F85" t="str">
            <v>The recurring amount (usually monthly) that the client can invest towards this goal</v>
          </cell>
          <cell r="G85"/>
          <cell r="H85"/>
          <cell r="I85"/>
          <cell r="J85" t="str">
            <v>For each client goal: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v>
          </cell>
        </row>
        <row r="86">
          <cell r="D86" t="str">
            <v>Available Lumpsum Amount</v>
          </cell>
          <cell r="E86"/>
          <cell r="F86" t="str">
            <v>A one-time, non-recurring amount the client has available to invest right now</v>
          </cell>
          <cell r="G86"/>
          <cell r="H86"/>
          <cell r="I86"/>
          <cell r="J86" t="str">
            <v>For each client:
-Extract any one‑time, non‑recurring amount the client states they have available to invest immediately for this goal (e.g., “I can put £10,000 in now”)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v>
          </cell>
        </row>
        <row r="87">
          <cell r="D87" t="str">
            <v>Total # of Goals</v>
          </cell>
          <cell r="E87"/>
          <cell r="F87" t="str">
            <v>The total count of distinct financial goals the client wishes to plan for</v>
          </cell>
          <cell r="G87"/>
          <cell r="H87"/>
          <cell r="I87"/>
          <cell r="J87" t="str">
            <v>For each client:
-Identify all distinct financial goals explicitly mentioned in the transcript or planning documents (e.g., “university fund”, “retirement income”, “new house deposit”)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v>
          </cell>
        </row>
        <row r="88">
          <cell r="D88" t="str">
            <v>Section Header</v>
          </cell>
          <cell r="E88" t="str">
            <v>N</v>
          </cell>
          <cell r="F88"/>
          <cell r="G88" t="str">
            <v>N</v>
          </cell>
          <cell r="H88" t="str">
            <v>Static</v>
          </cell>
          <cell r="I88" t="str">
            <v>NA</v>
          </cell>
          <cell r="J88" t="str">
            <v>NA</v>
          </cell>
        </row>
        <row r="89">
          <cell r="D89" t="str">
            <v>Taxation on Withdrawal (Chargeable Gains, CGT, IHT Liability)</v>
          </cell>
          <cell r="E89" t="str">
            <v>Y</v>
          </cell>
          <cell r="F89" t="str">
            <v xml:space="preserve">If the advise is given on some calculation with chargeable gains or encashment, then ensure that the calculations is correct. Release calculations are validated to ensure that if there is some tax laibility it is calculated correctly. </v>
          </cell>
          <cell r="G89" t="str">
            <v>Y</v>
          </cell>
          <cell r="H89"/>
          <cell r="I89" t="e">
            <v>#REF!</v>
          </cell>
          <cell r="J89" t="str">
            <v>For each client:
-For each withdrawal, encashment, or release discussed, identify whether the adviser provides or references a calculation involving chargeable gains, Capital Gains Tax (CGT), or Inheritance Tax (IHT) liability
-Extract a concise summary of the tax-related calculation and its conclusion (e.g., “CGT of £2,300 is due on this encashment”, “no CGT because within allowance”)
-Verify that any stated tax liability or gain is internally consistent with the figures given in the transcript (e.g., allowances, rates, and gain amounts align)
-Flag any explicit adviser statement that calculations have been checked or validated (e.g., “we’ve verified the CGT on this release”)</v>
          </cell>
        </row>
        <row r="90">
          <cell r="D90" t="str">
            <v>Taxation Overview</v>
          </cell>
          <cell r="E90" t="str">
            <v>Y</v>
          </cell>
          <cell r="F90" t="str">
            <v>Client’s income tax status, CGT, IHT considerations and overall tax strategy discussion</v>
          </cell>
          <cell r="G90" t="str">
            <v>Y</v>
          </cell>
          <cell r="H90"/>
          <cell r="I90" t="str">
            <v>Conversation transcript</v>
          </cell>
          <cell r="J90" t="str">
            <v>For each client, extract overall tax position, summary statements about income tax rate, CGT, IHT, and tax strategy from transcript</v>
          </cell>
        </row>
        <row r="91">
          <cell r="D91" t="str">
            <v>Tax-Planning Strategies</v>
          </cell>
          <cell r="E91" t="str">
            <v>Y</v>
          </cell>
          <cell r="F91" t="str">
            <v>Strategies used or considered for tax efficiency</v>
          </cell>
          <cell r="G91" t="str">
            <v>Y</v>
          </cell>
          <cell r="H91"/>
          <cell r="I91" t="str">
            <v>Conversation transcript</v>
          </cell>
          <cell r="J91" t="str">
            <v>For each client, extract statements describing specific or general strategies considered for reducing tax efficiency, e.g. "using ISA", "pension contributions", "removing unnecessary gains"</v>
          </cell>
        </row>
        <row r="92">
          <cell r="D92" t="str">
            <v>Client Tax Preferences</v>
          </cell>
          <cell r="E92" t="str">
            <v>Y</v>
          </cell>
          <cell r="F92" t="str">
            <v>Client’s attitude towards tax planning</v>
          </cell>
          <cell r="G92" t="str">
            <v>Y</v>
          </cell>
          <cell r="H92"/>
          <cell r="I92" t="str">
            <v>Conversation transcript</v>
          </cell>
          <cell r="J92" t="str">
            <v>For each client, extract client preferences or attitudes toward tax planning ("want to keep it simple", "open to more aggressive tax reduction", etc.)</v>
          </cell>
        </row>
        <row r="93">
          <cell r="D93" t="str">
            <v>Section Header</v>
          </cell>
          <cell r="E93" t="str">
            <v>N</v>
          </cell>
          <cell r="F93"/>
          <cell r="G93" t="str">
            <v>N</v>
          </cell>
          <cell r="H93" t="str">
            <v>Static</v>
          </cell>
          <cell r="I93" t="str">
            <v>NA</v>
          </cell>
          <cell r="J93" t="str">
            <v>NA</v>
          </cell>
        </row>
        <row r="94">
          <cell r="D94" t="str">
            <v>Product Type - Existing Product</v>
          </cell>
          <cell r="E94" t="str">
            <v>Y</v>
          </cell>
          <cell r="F94" t="str">
            <v>The broad category or classification of the client’s current financial product, such as pension, ISA, mortgage, protection.</v>
          </cell>
          <cell r="G94" t="str">
            <v>Y</v>
          </cell>
          <cell r="H94"/>
          <cell r="I94" t="str">
            <v>Recommendation Report, Financial Planning Questionnaire, Ceding Scheme Info</v>
          </cell>
          <cell r="J94" t="str">
            <v>For each client existing product:
-Extract the broad category or classification of the client’s current financial product (e.g., “pension”, “ISA”, “mortgage”, “protection”, “investment bond”, “general investment account”)
-Map the extracted description to a standardised product‑type list used in your model (e.g., Pension, ISA, Mortgage, Protection, Investment Account, Bond, Platform, etc.)
-Ignore detailed brand or fund names here (those belong in “Fund Name – Existing Product”); capture only the overarching type/wrapper.
-If more than one existing product is discussed, create a separate Product Type entry for each product.</v>
          </cell>
        </row>
        <row r="95">
          <cell r="D95" t="str">
            <v>Fund Name - Existing Product</v>
          </cell>
          <cell r="E95" t="str">
            <v>Y</v>
          </cell>
          <cell r="F95" t="str">
            <v>Product Name of Existing product indicates the exact name or title of the client’s existing financial product or portfolio. This must be the specific branded product name (e.g., Saltus Passive 7, Royal London Governed Portfolio Enhanced) and not a generic category such as Pension, ISA, Bond, Mortgage, or Portfolio. If only a generic type is mentioned without a product name, record the value as Not Available.</v>
          </cell>
          <cell r="G95" t="str">
            <v>Y</v>
          </cell>
          <cell r="H95"/>
          <cell r="I95" t="str">
            <v>Recommendation Report, Ceding Scheme Info</v>
          </cell>
          <cell r="J95" t="str">
            <v>For each client and each of their product extract the specific fund or product name if stated (e.g. “Saltus Passive 7”). If only generic (e.g. just “ISA”), set as "NA"</v>
          </cell>
        </row>
        <row r="96">
          <cell r="D96" t="str">
            <v>Provider Name - Existing Product</v>
          </cell>
          <cell r="E96" t="str">
            <v>Y</v>
          </cell>
          <cell r="F96" t="str">
            <v xml:space="preserve">The name of the company or institution stated in the report as providing or administering the client’s current product. This may be the plan provider or platform of client's existing product. </v>
          </cell>
          <cell r="G96" t="str">
            <v>Y</v>
          </cell>
          <cell r="H96"/>
          <cell r="I96" t="str">
            <v>Recommendation Report, Financial Planning Questionnaire, Ceding Scheme Info</v>
          </cell>
          <cell r="J96" t="str">
            <v>For each client and each of their product extract provider/platform/company name if disclosed</v>
          </cell>
        </row>
        <row r="97">
          <cell r="D97" t="str">
            <v>Section Header</v>
          </cell>
          <cell r="E97" t="str">
            <v>N</v>
          </cell>
          <cell r="F97"/>
          <cell r="G97" t="str">
            <v>N</v>
          </cell>
          <cell r="H97" t="str">
            <v>Static</v>
          </cell>
          <cell r="I97" t="str">
            <v>NA</v>
          </cell>
          <cell r="J97" t="str">
            <v>NA</v>
          </cell>
        </row>
        <row r="98">
          <cell r="D98" t="str">
            <v>Cashflow Scenarios &amp; Assumptions</v>
          </cell>
          <cell r="E98" t="str">
            <v>Y</v>
          </cell>
          <cell r="F98" t="str">
            <v>Summary of key assumptions, scenarios modelled and approach</v>
          </cell>
          <cell r="G98" t="str">
            <v>Y</v>
          </cell>
          <cell r="H98"/>
          <cell r="I98" t="str">
            <v>Conversation transcript</v>
          </cell>
          <cell r="J98" t="str">
            <v>For each client, extract and summarize all assumptions made (e.g., rates of return, inflation, income changes), major “what-if” scenarios discussed, and the modelling approach (tools/periods/logic). List each scenario or assumption if stated separately in transcript or report</v>
          </cell>
        </row>
        <row r="99">
          <cell r="D99" t="str">
            <v>Outcomes and Client Decisions</v>
          </cell>
          <cell r="E99" t="str">
            <v>Y</v>
          </cell>
          <cell r="F99" t="str">
            <v>Main results, client reactions and decisions made following the modelling</v>
          </cell>
          <cell r="G99" t="str">
            <v>Y</v>
          </cell>
          <cell r="H99"/>
          <cell r="I99" t="str">
            <v>Conversation transcript</v>
          </cell>
          <cell r="J99" t="str">
            <v>For each client, extract the key outputs (e.g., projected balances, sustainability risk), direct client reactions (“pleased”, “concerned”), and any decisions or action plans made after reviewing the modelling (“decided to retire at 62”, “will increase contributions”). List each outcome or decision, referencing client/professional feedback if available</v>
          </cell>
        </row>
        <row r="100">
          <cell r="D100" t="str">
            <v>Section Header</v>
          </cell>
          <cell r="E100" t="str">
            <v>N</v>
          </cell>
          <cell r="F100"/>
          <cell r="G100" t="str">
            <v>N</v>
          </cell>
          <cell r="H100" t="str">
            <v>Static</v>
          </cell>
          <cell r="I100" t="str">
            <v>NA</v>
          </cell>
          <cell r="J100" t="str">
            <v>NA</v>
          </cell>
        </row>
        <row r="101">
          <cell r="D101" t="str">
            <v>Estate Arrangements</v>
          </cell>
          <cell r="E101" t="str">
            <v>Y</v>
          </cell>
          <cell r="F101" t="str">
            <v>Client's overview of estate planning in place, including wills, powers of attorney (POA), trusts, major gifts or legacy goals</v>
          </cell>
          <cell r="G101" t="str">
            <v>Y</v>
          </cell>
          <cell r="H101"/>
          <cell r="I101" t="str">
            <v>Conversation transcript</v>
          </cell>
          <cell r="J101" t="str">
            <v>For each client, extract all explicit mentions of wills, power of attorney, trusts, gifts, intended legacies, or other estate planning measures. Combine into a single summary statement per client</v>
          </cell>
        </row>
        <row r="102">
          <cell r="D102" t="str">
            <v>Referrals/Adviser Notes</v>
          </cell>
          <cell r="E102" t="str">
            <v>Y</v>
          </cell>
          <cell r="F102" t="str">
            <v>Any recommendations or referrals client has received from legal and estate planning professionals</v>
          </cell>
          <cell r="G102" t="str">
            <v>Y</v>
          </cell>
          <cell r="H102"/>
          <cell r="I102" t="str">
            <v>Conversation transcript</v>
          </cell>
          <cell r="J102" t="str">
            <v>For each client, extract all stated professional recommendations, referrals (e.g., to solicitors), or key adviser notes related to estate planning actions</v>
          </cell>
        </row>
        <row r="103">
          <cell r="D103" t="str">
            <v>Section Header</v>
          </cell>
          <cell r="E103" t="str">
            <v>N</v>
          </cell>
          <cell r="F103"/>
          <cell r="G103" t="str">
            <v>N</v>
          </cell>
          <cell r="H103" t="str">
            <v>Static</v>
          </cell>
          <cell r="I103" t="str">
            <v>NA</v>
          </cell>
          <cell r="J103" t="str">
            <v>NA</v>
          </cell>
        </row>
        <row r="104">
          <cell r="D104" t="str">
            <v>Time Horizon - Growth</v>
          </cell>
          <cell r="E104" t="str">
            <v>Y</v>
          </cell>
          <cell r="F104" t="str">
            <v>Refers to the expected time period during which the client plans to leave their investment untouched to focus on capital accumulation (growth), without needing to withdraw income. This reflects how long they can remain invested before withdrawing from investment.</v>
          </cell>
          <cell r="G104" t="str">
            <v>Y</v>
          </cell>
          <cell r="H104"/>
          <cell r="I104" t="str">
            <v>Recommendation Report, Risk Assessment Questionnaire</v>
          </cell>
          <cell r="J104" t="str">
            <v>For each client, extract the period stated for capital growth (e.g. “10 years”, “until retirement”, “long-term”). Use explicit duration if stated</v>
          </cell>
        </row>
        <row r="105">
          <cell r="D105" t="str">
            <v>Time Horizon - Income</v>
          </cell>
          <cell r="E105" t="str">
            <v>Y</v>
          </cell>
          <cell r="F105" t="str">
            <v>Refers to the duration over which the client expects to draw a regular income from their investment. This reflects how long the investment is expected to support regular withdrawals.</v>
          </cell>
          <cell r="G105" t="str">
            <v>Y</v>
          </cell>
          <cell r="H105"/>
          <cell r="I105" t="str">
            <v>Recommendation Report, Risk Assessment Questionnaire</v>
          </cell>
          <cell r="J105" t="str">
            <v>For each client, extract stated or implied period of intended income withdrawals (“until 80”, “lifetime income”, “short-term 5 years”)</v>
          </cell>
        </row>
        <row r="106">
          <cell r="D106" t="str">
            <v>Access Investment-Growth</v>
          </cell>
          <cell r="E106" t="str">
            <v>Y</v>
          </cell>
          <cell r="F106" t="str">
            <v>Refers to how does the client expects to access funds from an investment intended for capital growth.</v>
          </cell>
          <cell r="G106" t="str">
            <v>Y</v>
          </cell>
          <cell r="H106"/>
          <cell r="I106" t="str">
            <v>Recommendation Report, Risk Assessment Questionnaire</v>
          </cell>
          <cell r="J106" t="str">
            <v>For each client, extract any rules or expectations about accessing (liquidity, notice, penalties for early withdrawal) for growth-oriented funds</v>
          </cell>
        </row>
        <row r="107">
          <cell r="D107" t="str">
            <v>Access Investment-Income</v>
          </cell>
          <cell r="E107" t="str">
            <v>Y</v>
          </cell>
          <cell r="F107" t="str">
            <v>Refers to how does the client expects to access funds from an investment intended to provide regular income.</v>
          </cell>
          <cell r="G107" t="str">
            <v>Y</v>
          </cell>
          <cell r="H107"/>
          <cell r="I107" t="str">
            <v>Recommendation Report, Risk Assessment Questionnaire</v>
          </cell>
          <cell r="J107" t="str">
            <v>For each client, extract any rules or expectations about accessing (liquidity, notice, penalties for early withdrawal) for income-focused assets/products</v>
          </cell>
        </row>
        <row r="108">
          <cell r="D108" t="str">
            <v>Risk Score</v>
          </cell>
          <cell r="E108" t="str">
            <v>Y</v>
          </cell>
          <cell r="F108" t="str">
            <v>A numeric value derived from the client’s responses in the risk assessment, reflecting their overall attitude to investment risk. It can be between 1-50. This is different that Client Risk category.</v>
          </cell>
          <cell r="G108" t="str">
            <v>Y</v>
          </cell>
          <cell r="H108"/>
          <cell r="I108" t="str">
            <v>Recommendation Report, Risk Assessment Questionnaire</v>
          </cell>
          <cell r="J108" t="str">
            <v>For each client, extract the numeric risk score (1–50) from risk-profiling documents or transcript</v>
          </cell>
        </row>
        <row r="109">
          <cell r="D109" t="str">
            <v>Client Risk Category</v>
          </cell>
          <cell r="E109" t="str">
            <v>Y</v>
          </cell>
          <cell r="F109" t="str">
            <v>It is the client’s assessed risk profile based on their responses to the questions answered in the risk questionnaire. It must be between 1-10.</v>
          </cell>
          <cell r="G109" t="str">
            <v>Y</v>
          </cell>
          <cell r="H109"/>
          <cell r="I109" t="str">
            <v>Recommendation Report, Risk Assessment Questionnaire</v>
          </cell>
          <cell r="J109" t="str">
            <v>For each client, extract risk category (1–10) as directly scored or assigned in the risk profiling questionnaire</v>
          </cell>
        </row>
        <row r="110">
          <cell r="D110" t="str">
            <v>Agreed Client Risk Category</v>
          </cell>
          <cell r="E110" t="str">
            <v>Y</v>
          </cell>
          <cell r="F110" t="str">
            <v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v>
          </cell>
          <cell r="G110" t="str">
            <v>Y</v>
          </cell>
          <cell r="H110"/>
          <cell r="I110" t="str">
            <v>Recommendation Report, Risk Assessment Questionnaire</v>
          </cell>
          <cell r="J110" t="str">
            <v>For each client, extract agreed risk category (1–10) after conversation; if it differs from initial, extract rationale. If rationale missing when required, set as "NA"</v>
          </cell>
        </row>
        <row r="111">
          <cell r="D111" t="str">
            <v>Capacity For Loss</v>
          </cell>
          <cell r="E111" t="str">
            <v>Y</v>
          </cell>
          <cell r="F111" t="str">
            <v>The client’s financial ability to absorb a fall in the value of their investments without it having a material impact on their standard of living or financial objectives. This may be stated as a specific value, rating, or category (such as  “High,” “Low,” “Sufficient”) or described narratively (such as referencing investment timeframe, stability of finances, or tolerance for fluctuations). If no assessment is provided in any form, set to “Not Available.”</v>
          </cell>
          <cell r="G111" t="str">
            <v>Y</v>
          </cell>
          <cell r="H111"/>
          <cell r="I111" t="str">
            <v>Recommendation Report, Risk Assessment Questionnaire</v>
          </cell>
          <cell r="J111" t="str">
            <v>For each client, extract explicit rating/category (e.g., “High”, “Low”, “Sufficient”), or detailed narrative (such as referencing investment timeframe, stability of finances, or tolerance for fluctuations)</v>
          </cell>
        </row>
        <row r="112">
          <cell r="D112" t="str">
            <v>Knowledge &amp; Experience</v>
          </cell>
          <cell r="E112" t="str">
            <v>Y</v>
          </cell>
          <cell r="F112" t="str">
            <v>It captures the client’s level of understanding and past experience with different types of investments</v>
          </cell>
          <cell r="G112" t="str">
            <v>Y</v>
          </cell>
          <cell r="H112"/>
          <cell r="I112" t="str">
            <v>Recommendation Report, Risk Assessment Questionnaire</v>
          </cell>
          <cell r="J112" t="str">
            <v>For each client, extract stated level (Novice/Intermediate/Advanced) or paraphrase description of investment knowledge/experience</v>
          </cell>
        </row>
        <row r="113">
          <cell r="D113" t="str">
            <v>Ethical Preference &amp; Other Considerations</v>
          </cell>
          <cell r="E113" t="str">
            <v>Y</v>
          </cell>
          <cell r="F113" t="str">
            <v>It captures environment, social, governance, ethical, religious preferences or consideration before making an investment</v>
          </cell>
          <cell r="G113" t="str">
            <v>Y</v>
          </cell>
          <cell r="H113"/>
          <cell r="I113" t="str">
            <v>Recommendation Report, Risk Assessment Questionnaire</v>
          </cell>
          <cell r="J113" t="str">
            <v xml:space="preserve">For each client, extract statements or preferences about sustainable investing, exclusions, or faith-based values	</v>
          </cell>
        </row>
        <row r="114">
          <cell r="D114" t="str">
            <v>ATR response consistency</v>
          </cell>
          <cell r="E114" t="str">
            <v>Y</v>
          </cell>
          <cell r="F114" t="str">
            <v>If any response or data point is inconsistent with another in content, logic, or implied behaviour, flag it as Inconsistent and provide a brief explanation along with pointing out the questions describing the logical or response-level contradiction.</v>
          </cell>
          <cell r="G114" t="str">
            <v>Y</v>
          </cell>
          <cell r="H114"/>
          <cell r="I114" t="str">
            <v>Risk Assessment Questionnaire</v>
          </cell>
          <cell r="J114" t="str">
            <v xml:space="preserve">If any answers are logically inconsistent (ambivalence, contradiction), for each client extract a summary (e.g., “client wants high returns but objects to volatility”). If all consistent or not checked, NA.	</v>
          </cell>
        </row>
        <row r="115">
          <cell r="D115" t="str">
            <v>Client Risk Category - Notes</v>
          </cell>
          <cell r="E115" t="str">
            <v>Y</v>
          </cell>
          <cell r="F115" t="str">
            <v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v>
          </cell>
          <cell r="G115" t="str">
            <v>Y</v>
          </cell>
          <cell r="H115"/>
          <cell r="I115" t="str">
            <v>Risk Assessment Questionnaire</v>
          </cell>
          <cell r="J115" t="str">
            <v>For each client, extract narrative justification or explanation if risk category was changed after discussion</v>
          </cell>
        </row>
        <row r="116">
          <cell r="D116" t="str">
            <v>Risk Capacity</v>
          </cell>
          <cell r="E116" t="str">
            <v>Y</v>
          </cell>
          <cell r="F116" t="str">
            <v>Client's financial ability absorb losses, based on financial strength and constraints; subjective asessment of risk</v>
          </cell>
          <cell r="G116" t="str">
            <v>Y</v>
          </cell>
          <cell r="H116"/>
          <cell r="I116" t="str">
            <v>Risk Assessment Questionnaire</v>
          </cell>
          <cell r="J116" t="str">
            <v>For each client, extract summary of client’s risk capacity as described by adviser, or client self-assessment if explicitly stated</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0BD6CD-A602-4BD4-A7A0-3B3936049E7E}" name="Table51011" displayName="Table51011" ref="A1:S108" totalsRowShown="0" headerRowDxfId="225" dataDxfId="224" tableBorderDxfId="223">
  <autoFilter ref="A1:S108" xr:uid="{161F4F4E-0A14-4368-89AC-5A323DF4E7E9}"/>
  <tableColumns count="19">
    <tableColumn id="1" xr3:uid="{A2E6AB0C-94CF-4B6E-A145-31F64B088911}" name="#" dataDxfId="222"/>
    <tableColumn id="2" xr3:uid="{4DE6716B-7B69-4EAF-9238-74FEDE96F2C4}" name="Section / Data Category" dataDxfId="221"/>
    <tableColumn id="3" xr3:uid="{C32CA10B-B1C2-4FD5-AFA8-ADBD81C20636}" name="Field" dataDxfId="220"/>
    <tableColumn id="4" xr3:uid="{E29F820D-00FE-4100-96E9-956334E1823B}" name="Data Type" dataDxfId="219"/>
    <tableColumn id="5" xr3:uid="{B1952A93-68E3-4CC1-8BF8-672D0C51DDD5}" name="Description" dataDxfId="218"/>
    <tableColumn id="8" xr3:uid="{8FA9F393-EEF2-4EF0-9B64-5385D01D90DB}" name="Documents extraction source" dataDxfId="217"/>
    <tableColumn id="9" xr3:uid="{6C857167-729C-4513-93AE-F9580846C444}" name="Recommendation Report" dataDxfId="216"/>
    <tableColumn id="10" xr3:uid="{62CC29D1-8894-4D77-8C22-87F3C68CC157}" name="Risk Assessment Questionnaire" dataDxfId="215"/>
    <tableColumn id="11" xr3:uid="{C8E58306-C1D5-48C4-92EF-7532EACAFFCE}" name="Financial Planning Questionnaire" dataDxfId="214"/>
    <tableColumn id="12" xr3:uid="{DE5BB680-79E6-4E41-8611-DD0BF92E8D01}" name="Illustration Report" dataDxfId="213"/>
    <tableColumn id="13" xr3:uid="{FA28B524-7CD5-4B66-B580-6CBA9B79A308}" name="Client Agreement" dataDxfId="212"/>
    <tableColumn id="14" xr3:uid="{A8BC4BC0-0562-4A52-8FD9-054C40454006}" name="Client Fee Agreement" dataDxfId="211"/>
    <tableColumn id="15" xr3:uid="{C49E78A8-527B-4127-9CD1-213B4AABE9AC}" name="SmartSearch" dataDxfId="210"/>
    <tableColumn id="16" xr3:uid="{41FE47EE-5E97-4C60-ACAC-93E0ACE18880}" name="Pension Switch Analysis (PSA)" dataDxfId="209"/>
    <tableColumn id="17" xr3:uid="{7C235A3D-E53E-4032-9DB6-4E8C3171B5A2}" name="Cashflow" dataDxfId="208"/>
    <tableColumn id="18" xr3:uid="{93C71A43-A6AF-4342-A8DE-9A90F0EFCE81}" name="Ceding Scheme Info" dataDxfId="207"/>
    <tableColumn id="19" xr3:uid="{8178C6F4-2002-432E-AD09-4D28262A6F7B}" name="Comparision Research" dataDxfId="206"/>
    <tableColumn id="20" xr3:uid="{7617F189-4ED3-467D-BC96-8C656466B1FF}" name="Extraction frequency from Recommendation Report" dataDxfId="205"/>
    <tableColumn id="21" xr3:uid="{84229C5B-1246-4CAA-88DB-01A801F1F0EE}" name="Business Rule / Logic" dataDxfId="20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72EE6FE-863E-4341-9950-F5DDE6DD46C6}" name="Table6913" displayName="Table6913" ref="A1:L111" totalsRowShown="0" dataDxfId="202" headerRowBorderDxfId="203" tableBorderDxfId="201">
  <autoFilter ref="A1:L111" xr:uid="{E28E0EDA-6A35-423C-9EC1-B6803F280310}"/>
  <tableColumns count="12">
    <tableColumn id="1" xr3:uid="{D039728E-6FBA-4F4E-BEB1-8CE1C768EE46}" name="#" dataDxfId="200"/>
    <tableColumn id="2" xr3:uid="{15B3AAA3-2B3A-45AE-B554-9355565C2249}" name="Section Name" dataDxfId="199"/>
    <tableColumn id="3" xr3:uid="{D729EF5E-F206-4969-A5EB-2320F60BD498}" name="Sub-Section" dataDxfId="198"/>
    <tableColumn id="4" xr3:uid="{044A7B29-DC43-4D20-B33C-F849233D3465}" name="Data Field" dataDxfId="197"/>
    <tableColumn id="8" xr3:uid="{0A231E69-BBE3-4420-8AAE-B6CB8646DD7A}" name="Source" dataDxfId="196"/>
    <tableColumn id="11" xr3:uid="{7D13012A-B648-4727-9CDB-A171EE4213CA}" name="Business Rule (Application) OLD" dataDxfId="195"/>
    <tableColumn id="5" xr3:uid="{A5550ABF-607F-4562-9355-4D54555399D1}" name="Business Rule (Application)2" dataDxfId="194"/>
    <tableColumn id="9" xr3:uid="{0F3BC6EC-252B-43CF-B9E4-841A10C8881A}" name="OLD EXTRACTION" dataDxfId="193"/>
    <tableColumn id="6" xr3:uid="{7275CFF8-9649-4CB9-BB8F-B094B4C0788C}" name="Description - EXTRACTION" dataDxfId="192"/>
    <tableColumn id="12" xr3:uid="{116BDC25-B9C6-4558-AA85-F6671E9D7D2C}" name="Business Rule Type" dataDxfId="191">
      <calculatedColumnFormula>VLOOKUP(Table6913[[#This Row],[Data Field]],'Extraction Fields_JSON'!C:D,19,FALSE)</calculatedColumnFormula>
    </tableColumn>
    <tableColumn id="7" xr3:uid="{0608EBE0-11E7-4174-9896-2A5D0BBDF2D9}" name="Data Model" dataDxfId="190"/>
    <tableColumn id="14" xr3:uid="{E8A6E855-8184-496E-8BB5-9930241B5B80}" name="Field Client Name" dataDxfId="18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709F41C-2610-4E4F-85C2-2696E1D26BA7}" name="Table6914" displayName="Table6914" ref="A1:H39" totalsRowShown="0" dataDxfId="187" headerRowBorderDxfId="188" tableBorderDxfId="186">
  <autoFilter ref="A1:H39" xr:uid="{E28E0EDA-6A35-423C-9EC1-B6803F280310}"/>
  <tableColumns count="8">
    <tableColumn id="1" xr3:uid="{A53545C1-6CEC-4054-BA80-0AA87C39339E}" name="#" dataDxfId="185"/>
    <tableColumn id="2" xr3:uid="{B84DA32E-C50C-4DC9-B1D4-E6C1CDA14437}" name="Section Name" dataDxfId="184"/>
    <tableColumn id="3" xr3:uid="{48222F50-F528-4B39-83E2-926D492E96A7}" name="Sub-Section" dataDxfId="183"/>
    <tableColumn id="4" xr3:uid="{228847B2-E84F-447B-9536-5D5E55D1A5F2}" name="Data Field" dataDxfId="182"/>
    <tableColumn id="8" xr3:uid="{65B51935-A4B9-4698-AEA5-AB6DF4CD2B45}" name="Source" dataDxfId="181"/>
    <tableColumn id="5" xr3:uid="{0F90715E-8171-4544-8CBC-DCC1FFFA995A}" name="Business Rule (Application)" dataDxfId="180"/>
    <tableColumn id="12" xr3:uid="{FBEA3501-088B-409D-A90F-8BEEE14FD11C}" name="Business Rule Type" dataDxfId="179"/>
    <tableColumn id="14" xr3:uid="{09E2005A-2D64-4F90-ABA9-CDC262D72C35}" name="Field Client Name" dataDxfId="17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6635B-D95A-438C-940B-204B2DE3A600}" name="Table510" displayName="Table510" ref="A1:H121" totalsRowShown="0" headerRowDxfId="177" dataDxfId="176" tableBorderDxfId="175">
  <autoFilter ref="A1:H121" xr:uid="{161F4F4E-0A14-4368-89AC-5A323DF4E7E9}"/>
  <tableColumns count="8">
    <tableColumn id="1" xr3:uid="{5D3104E6-EC0E-40A9-8ADB-407607D5A575}" name="#" dataDxfId="174"/>
    <tableColumn id="2" xr3:uid="{1D047E3B-C103-4353-8EF6-112F99879DE5}" name="Section / Data Category" dataDxfId="173"/>
    <tableColumn id="3" xr3:uid="{F8592F68-4714-4A85-9C81-3B29FF1F629E}" name="Field" dataDxfId="172"/>
    <tableColumn id="4" xr3:uid="{C4888DB4-9714-4693-A954-497B371778C1}" name="Data Type" dataDxfId="171"/>
    <tableColumn id="6" xr3:uid="{86AA4B70-8DF4-410C-8BDB-58AB729A446B}" name="Description" dataDxfId="170"/>
    <tableColumn id="8" xr3:uid="{FD5D4853-8FE9-4E84-959F-1FB12F5A6DEF}" name="Source" dataDxfId="169"/>
    <tableColumn id="5" xr3:uid="{D0B66AED-720E-49D2-AB43-92B28BFBC5E9}" name="Data Model" dataDxfId="168"/>
    <tableColumn id="7" xr3:uid="{EECD35F3-C0FB-46CF-A5B9-00E6FE991990}" name="Internal Notes" dataDxfId="16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624EEF-3381-4058-AB35-6A78860EDDBF}" name="Table69" displayName="Table69" ref="A1:H41" totalsRowShown="0" dataDxfId="165" headerRowBorderDxfId="166" tableBorderDxfId="164">
  <autoFilter ref="A1:H41" xr:uid="{E28E0EDA-6A35-423C-9EC1-B6803F280310}"/>
  <tableColumns count="8">
    <tableColumn id="1" xr3:uid="{F163B45A-7645-47F5-8633-9D7DE0E4FEC2}" name="#" dataDxfId="163"/>
    <tableColumn id="2" xr3:uid="{74DDE53F-9558-432A-A939-F012E7A5AE06}" name="Section Name" dataDxfId="162"/>
    <tableColumn id="3" xr3:uid="{BCEF6BCA-4107-4DC3-9494-0032A4BE1C9C}" name="Sub-Section" dataDxfId="161"/>
    <tableColumn id="4" xr3:uid="{51EFAD00-59AF-4D0C-8D6B-3775C3D3E3FF}" name="Data Field" dataDxfId="160"/>
    <tableColumn id="8" xr3:uid="{B4F90BAB-551F-478C-BAD7-CD414FC1C79E}" name="Source" dataDxfId="159"/>
    <tableColumn id="5" xr3:uid="{5C777E35-47C9-4F62-A60E-545EF3C2D529}" name="Business Rule (Application)" dataDxfId="158"/>
    <tableColumn id="12" xr3:uid="{869FB31C-0604-4278-B6C6-E4FDF4CCD341}" name="Business Rule Type" dataDxfId="157"/>
    <tableColumn id="14" xr3:uid="{8029E13C-3795-49E2-B105-F213123321C4}" name="Field Client Name" dataDxfId="156"/>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04D62D-21EE-411B-AA8E-16825FDF519C}" name="Table14" displayName="Table14" ref="A1:E117" totalsRowShown="0" headerRowDxfId="155" dataDxfId="154">
  <autoFilter ref="A1:E117" xr:uid="{91B90652-A2A0-45B2-89E0-9CDE9A7271F3}"/>
  <tableColumns count="5">
    <tableColumn id="1" xr3:uid="{93F1B9A7-DF27-40C2-AD20-9DB31E59B706}" name="Section" dataDxfId="153"/>
    <tableColumn id="2" xr3:uid="{3FFD173C-C1AE-46C3-BE69-4402CEB9D551}" name="Sub-Section" dataDxfId="152"/>
    <tableColumn id="3" xr3:uid="{C982765B-9006-45AA-93AB-8D0D4D3BE892}" name="Option/Field" dataDxfId="151"/>
    <tableColumn id="4" xr3:uid="{74D6EDE2-EAE6-4893-B9A5-EE3866F4E03E}" name="Choices/Answer" dataDxfId="150"/>
    <tableColumn id="5" xr3:uid="{F26CAA7A-080F-4484-A262-94F6FBE76D65}" name="Notes" dataDxfId="14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6B6A70-C2ED-455C-B8CE-B25C1EF36171}" name="Table712" displayName="Table712" ref="A1:J37" totalsRowShown="0" headerRowDxfId="148" dataDxfId="147" tableBorderDxfId="146">
  <autoFilter ref="A1:J37" xr:uid="{13D2E776-26CA-4414-B90E-872DFC7942EA}"/>
  <tableColumns count="10">
    <tableColumn id="1" xr3:uid="{DAB018B4-3BE5-4D42-A941-AA0B35F51CE9}" name="#" dataDxfId="145"/>
    <tableColumn id="2" xr3:uid="{1E239468-672A-4AA8-922F-97A879840C3E}" name="Section Name" dataDxfId="144"/>
    <tableColumn id="3" xr3:uid="{227047F8-81DC-49AD-8E52-6D809345D9C6}" name="Sub-Section" dataDxfId="143"/>
    <tableColumn id="4" xr3:uid="{84681727-825F-431E-8581-FCDDC34BAC65}" name="Data Field" dataDxfId="142"/>
    <tableColumn id="8" xr3:uid="{B292ECA1-2388-4F36-B8E5-626368ACDF5A}" name="Golden Source" dataDxfId="141"/>
    <tableColumn id="10" xr3:uid="{21CD46FA-38C1-479F-B6BD-96E3EF24734A}" name="Business Rule (For each client, extraction) - Only for New Data fields" dataDxfId="140"/>
    <tableColumn id="11" xr3:uid="{504ECF88-563F-4FF8-960A-4A1822EBCBDA}" name="Business Rule (Application)" dataDxfId="139"/>
    <tableColumn id="12" xr3:uid="{1303D387-B70A-4727-A7C2-66CB6E5D172A}" name="Business Rule Type" dataDxfId="138"/>
    <tableColumn id="13" xr3:uid="{5B9B863D-BFAE-4ADE-A33A-3F91ADEF22D1}" name="Data Model" dataDxfId="137"/>
    <tableColumn id="14" xr3:uid="{62BEC954-0F0C-4407-BFB5-637ECB4CBA9F}" name="Field Client Name" dataDxfId="13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0BD40A-E598-44FE-8F2C-749E7DE5C82E}" name="Table36" displayName="Table36" ref="A1:N114" totalsRowShown="0" headerRowDxfId="135" dataDxfId="133" headerRowBorderDxfId="134" tableBorderDxfId="132">
  <autoFilter ref="A1:N114" xr:uid="{DD5CA195-34DE-4B49-A950-4A39BAC761B0}"/>
  <tableColumns count="14">
    <tableColumn id="1" xr3:uid="{02F7A91F-1310-4D53-9A28-BAB3BCA20183}" name="#" dataDxfId="131"/>
    <tableColumn id="2" xr3:uid="{E3C1119F-DD4F-491C-A99F-DAF42A26C8B7}" name="Section Name" dataDxfId="130"/>
    <tableColumn id="3" xr3:uid="{042F425B-472E-46BF-AE88-D1C6C2A51C00}" name="Sub-Section" dataDxfId="129"/>
    <tableColumn id="4" xr3:uid="{6621E146-2DEE-42D7-A831-E7CA9F6B0F24}" name="Data Field" dataDxfId="128"/>
    <tableColumn id="5" xr3:uid="{B804DE48-6CD4-4412-979B-A7EE7AF45C3C}" name="New Field (Y/N)" dataDxfId="127"/>
    <tableColumn id="6" xr3:uid="{CEFBA223-E2AD-49E1-92DB-FB6FEB001A60}" name="Field Description" dataDxfId="126"/>
    <tableColumn id="7" xr3:uid="{8ECBC902-F4EB-42E5-B790-9AB718DBC73E}" name="Extracted Data Needed (Y/N)" dataDxfId="125"/>
    <tableColumn id="8" xr3:uid="{47110F6A-3510-4C0B-9F68-AADE618E687D}" name="Golden Source" dataDxfId="124"/>
    <tableColumn id="9" xr3:uid="{3CD2B20F-AB7B-491B-B6EF-AB97898A4F2C}" name="Documents extraction source(s)" dataDxfId="123"/>
    <tableColumn id="10" xr3:uid="{0F2B11F5-5F63-43A6-99EA-3EF6016A3CB1}" name="Business Rule (For each client, extraction) - Only for New Data fields" dataDxfId="122"/>
    <tableColumn id="11" xr3:uid="{CAD68D58-9F09-473C-89BC-14C159E372EF}" name="Business Rule (Application)" dataDxfId="121"/>
    <tableColumn id="12" xr3:uid="{391A9FAD-3EC2-4D21-A807-DDFCB4798A42}" name="Business Rule Type" dataDxfId="120"/>
    <tableColumn id="13" xr3:uid="{FBE5010C-C327-4960-8BA6-8A56B832BC1D}" name="Data Model" dataDxfId="119"/>
    <tableColumn id="14" xr3:uid="{5433E3FE-69DC-405C-AEFB-9BBC875EE73E}" name="Field Client Name" dataDxfId="11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8E0EDA-6A35-423C-9EC1-B6803F280310}" name="Table6" displayName="Table6" ref="A1:N124" totalsRowShown="0" dataDxfId="116" headerRowBorderDxfId="117" tableBorderDxfId="115">
  <autoFilter xmlns:x14="http://schemas.microsoft.com/office/spreadsheetml/2009/9/main" ref="A1:N124" xr:uid="{E28E0EDA-6A35-423C-9EC1-B6803F280310}">
    <filterColumn colId="9">
      <filters>
        <mc:AlternateContent xmlns:mc="http://schemas.openxmlformats.org/markup-compatibility/2006">
          <mc:Choice Requires="x14">
            <x14:filter val="Analyze the entire transcript to extract: (1) client name(s) and adviser name, (2) main topics covered (e.g., retirement, protection, investments, tax, estate), (3) primary client concerns and objectives, and (4) key decisions, recommendations, or agreed next steps_x000a_-Prioritise items that are time‑critical, high‑impact, or central to the client’s goals; ignore minor tangents and small talk_x000a_-Synthesize the above into a single coherent paragraph of 4-5 sentences, max c. 500 characters where possible, written in clear, plain language_x000a_-Exclude any internal process notes (e.g., back‑office tasks, system errors) that are not relevant to the client‑facing narrative"/>
            <x14:filter val="Extract adviser name from transcript introduction or default to &quot;xxx&quot;_x0009_"/>
            <x14:filter val="Extract client full name(s) from adviser greetings, introductions, or direct address in transcript. Look for patterns like &quot;Good morning [Name]&quot;, &quot;Thank you [Name] for&quot;, client self-introductions"/>
            <x14:filter val="Extract date from transcript metadata, or look for references like &quot;today is&quot;, &quot;our meeting on [date]&quot;, date stamps in transcript"/>
            <x14:filter val="Extract the type or purpose of the meeting_x000a_- Map to one of the options: &quot;Initial Consultation&quot; (e.g., initial call, first meeting, onboarding meeting); &quot;Annual Review&quot; (e.g., yearly review, annual check-in); Mid-Term Review (e.g., six-month review, interim review); &quot;Other&quot; (if nothing fits or is unclear)"/>
            <x14:filter val="For each client Goal [N] where &quot;Investment Contribution Mode&quot; = Periodic:_x000a_-Extract the recurring amount (usually monthly) that the client states they can invest towards this specific goal (e.g., “I can put £250 a month into this”)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general surplus figures that are not clearly earmarked for this goal, and exclude vague statements without a clear amount (e.g., “a bit extra each month”)"/>
            <x14:filter val="For each client Goal [N]:_x000a_- Extract the client’s stated ranking of the goal’s importance or goal-related text for priority wording or numeric ranking_x000a_- Only allow values from the enumeration set: [High, Medium, Low]._x000a_- Normalize synonyms or numeric rankings into one of the three allowed values (“Top priority,” “Critical,” “1”: High; “Secondary,” “Moderate,” “2”: Medium; “Least important,” “Low priority,” “3”: Low)_x000a_- Exclude vague or non‑specific statements (e.g., “all goals are important” without ranking)."/>
            <x14:filter val="For each client Goal [N]:_x000a_-Extract any explicit statement about how fixed or movable the goal’s end date is (e.g., “it has to be that year”, “we can push it back if needed”, “we’re fairly flexible”)._x000a_-Only allow values from the enumeration set: [Inflexible, Flexible, Somewhat Flexible]_x000a_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_x000a_-Exclude vague or unrelated comments that do not clearly describe timing flexibility."/>
            <x14:filter val="For each client Goal [N]:_x000a_-Extract the client’s stated preferred method of funding this specific goal (e.g., “monthly payments”, “regular contributions”)_x000a_-Only allow values from the enumeration set: [Periodic, Lumpsum]_x000a_Normalize synonyms and phrases into one of the two allowed values, for example: (“Monthly”, “quarterly”, “regular payments”, “ongoing contributions”, “direct debit” → Periodic; “One‑off payment”, “single lump sum”, “upfront contribution”, “initial lump” → Lumpsum)_x000a_-If both are clearly mentioned as acceptable, select the one explicitly preferred; if no preference is given, leave the field as not determined._x000a_-Exclude vague funding comments that do not clearly indicate mode (e.g., “we’ll see how we pay for it”)"/>
            <x14:filter val="For each client Goal [N]:_x000a_-Extract the date or explicit timeframe when the client intends to begin saving or investing for this goal (e.g., “start in March 2026”, “from next month”, “1 January 2027”)_x000a_-Normalize all explicit calendar dates into the format DD/MM/YYYY (e.g., “1 January 2027” → 01/01/2027)_x000a_-For relative timeframes (“next month”, “in six months”), convert to a concrete DD/MM/YYYY using the meeting date as reference, where possible; if the exact day is not given, use the first day of the stated month (e.g., “March 2026” → 01/03/2026)_x000a_-Exclude vague or non-specific phrases with no clear start point (e.g., “sometime in the future”, “when things improve”)"/>
            <x14:filter val="For each client Goal [N]:_x000a_-Extract the point in time when the client needs the goal to be achieved._x000a_-Accept one of three forms: A specific calendar date [DD/MM/YYYY], a duration from now expressed as an integer plus unit (e.g., “in 5 years”, “over 10 months”) and store as &quot;Duration [Int] + [Unit]&quot;; a target age expressed as an integer (e.g., “by age 60”, “when I’m 55”) and store as &quot;Age [Int]&quot;_x000a_For relative phrases (“in 10 years”, “within 3 years”), do not convert to a concrete date; capture them as Duration (Int + Unit) instead_x000a_Exclude vague or non‑specific expressions without a clear horizon (e.g., “someday”, “in the far future”)"/>
            <x14:filter val="For each client Goal [N]:_x000a_-Extract the specific individual(s) named as responsible for, or assigned to, the goal within the financial plan (e.g., “this is mainly Anna’s goal”, “Raj will fund this”, “joint goal for both of us”)_x000a_-Allow values only from the set of identified parties in the meeting (e.g., individual client names, “Joint”, or specific third-party family members if explicitly mentioned)_x000a_-Normalize common phrases into one of the allowed forms (e.g., “Both of us”, “joint goal”, “our goal” → “Joint (Client 1 &amp; Client 2)&quot;, “My goal”, “this is mainly mine” → map to the speaking client’s name, “For the children” → “Children” if children are explicitly referenced as goal owners/beneficiaries)_x000a_-Exclude vague or unclear attributions where no specific owner can be determined (e.g., “someone will sort this out” without naming who)."/>
            <x14:filter val="For each client Goal [N]:_x000a_Extract the value of any existing savings or investments that the client states are already allocated to that specific goal (e.g., “I already have £5,000 put aside for this”); consider &quot;Investment Amount for Goal&quot; data field, &quot;Investment Portfolio/Product for the Goal&quot; data field, &quot;Do you wish to make new contributions or review existing plans?&quot; data field_x000a_-Select only statements that clearly refer to money already saved/invested for this goal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general savings or investments not clearly linked to this goal, and exclude vague non‑quantified statements (e.g., “a bit saved already”) without a clear amount"/>
            <x14:filter val="For each client Goal [N]::_x000a_-Extract the total final monetary amount the client aims to accumulate for that goal (e.g., “I want £60,000 for this”_x000a_-Parse the amount as a numeric value (Amount) and the currency as a three‑letter code (Code), e.g., GBP, USD, EUR_x000a_-Retain the currency as stated by the client and map it to the appropriate currency code_x000a_-If no currency is explicitly mentioned, assume the default reporting currency (system base currency) for Code, but retain the original phrasing for audit._x000a_-Exclude vague or non‑quantified targets (e.g., “a decent pot”, “as much as possible”) where no clear amount can be determined."/>
            <x14:filter val="For each client goal already identified from “Goals &amp; Purpose” data field/ “Investment Amount for Goal” data field / “Time Horizon for Goal” data field, extract the full sentence (or longest, most specific clause) that describes what the client wants to achieve with that goal. _x000a_- Retain full phrasing as provided (e.g., “to build a retirement fund that covers living expenses after age 65”)_x000a_- Exclude vague or non‑specific text (e.g., “just saving for later”) and keep original wording"/>
            <x14:filter val="For each client goal identified in &quot;Goals &amp; Purpose&quot; data field (Goal 1, Goal 2,...) create a corresponding Goal [N]  object_x000a_Derive a short Goal Name for Goal [N] as follows, in order of precedence: _x000a_-If the goal text clearly matches one of the standard purpose categories, set: Capital growth → “Capital Growth&quot;; Income → “Income”; Retirement → “Retirement”; Contingency/Emergency fund → “Emergency Fund”; Project/Targeted purchase → “Project / Targeted Purchase”; Debt → “Debt Repayment”; Specific life event → “[Life Event]” (e.g., “Daughter’s First Home”, “University Fees”)_x000a_-If the text is a negative/inverse framing (e.g., “do not want my money locked up long term”), map to a concise label reflecting the core idea (e.g., “Access / Liquidity”, “No Long Lock‑In”)._x000a_-If no category can be confidently mapped, take a concise phrase from the original goal sentence (first clause up to ~5–7 words) that best describes the end‑use."/>
            <x14:filter val="For each client, extract enum for explicit intent regarding contributions and plan review and map on [New Contribution, Review Existing, Both]"/>
            <x14:filter val="For each client:_x000a_-Extract any one‑time, non‑recurring amount the client states they have available to invest immediately for this goal (e.g., “I can put £10,000 in now”) considering &quot;Investment Amount for Goal&quot; data field, &quot;Investment Portfolio/Product for the Goal&quot; data field, &quot;Do you wish to make new contributions or review existing plans?&quot; data field_x000a_Candidate phrases typically look like “I can put £10,000 in now”, “we have £20k free to invest as a lump sum”, “there’s £5,000 spare in cash we can invest immediately”.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amounts that are clearly ongoing contributions or not specifically earmarked as a one‑off for this goal"/>
            <x14:filter val="For each client:_x000a_-Extract explicit forward actions (e.g., Adviser tasks, client tasks, planned meetings or checkpoints)_x000a_-Exclude generic statements with no concrete action (“keep under review”) unless paired with a clear timeframe or trigger._x000a_-Keep wording concise; each distinct action as a separate bullet, ideally including owner and timing where stated."/>
            <x14:filter val="For each client:_x000a_-Extract short narrative statements about cashflow projections and scenarios_x000a_-Exclude pure numbers already stored in additional Data Fields from the sub-section._x000a_-Keep wording concise; split into separate bullets when they describe different aspects._x000a_"/>
            <x14:filter val="For each client:_x000a_-Extract short narrative statements about current products (e.g., pensions, ISAs, bonds, policies)_x000a_-Exclude pure numbers already stored in additional Data Fields from the sub-section._x000a_-Keep wording concise; split into separate bullets when they describe different aspects._x000a_"/>
            <x14:filter val="For each client:_x000a_-Extract short narrative statements about estate intentions and concerns_x000a_-Exclude pure numbers already stored in additional Data Fields from the sub-section._x000a_-Keep wording concise; split into separate bullets when they describe different aspects._x000a_"/>
            <x14:filter val="For each client:_x000a_-Extract short narrative statements about risk_x000a_-Exclude pure numbers already stored in additional Data Fields from the sub-section._x000a_-Keep wording concise; split into separate bullets when they describe different aspects._x000a_"/>
            <x14:filter val="For each client:_x000a_-Extract short narrative statements about tax situation and preferences_x000a_-Exclude pure numbers already stored in additional Data Fields from the sub-section._x000a_-Keep wording concise; split into separate bullets when they describe different aspects._x000a_"/>
            <x14:filter val="For each client:_x000a_-Extract short 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_x000a_-Exclude pure numbers already stored in additional Data Fields from the sub-section._x000a_-Keep wording concise; split into separate bullets when they describe different aspects._x000a_"/>
            <x14:filter val="For each client:_x000a_-Extract short narrative statements around Goals &amp; Objectives, why goals matter, how the client feels about them (e.g., “Most important goal is helping daughter onto property ladder”, “Client is very anxious about retirement adequacy&quot;, “Open to delaying holiday home if markets perform poorly”)_x000a_-Exclude pure numbers already stored in additional Data Fields from the sub-section._x000a_-Keep wording concise; split into separate bullets when they describe different aspects._x000a_"/>
            <x14:filter val="For each client:_x000a_-Extrac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_x000a_-Exclude pure numbers already stored in additional Data Fields from the sub-section._x000a_-Keep wording concise; split into separate bullets when they describe different aspects._x000a_"/>
            <x14:filter val="For each client:_x000a_-Extract short narrative statements that add context to demographics (e.g., “recently divorced”, “works part‑time and travels frequently”, “expecting first child next year”)._x000a_-Exclude purely financial data (income amounts, product details) already captured in other fields._x000a_-Keep wording concise; split into separate bullets when they describe different aspects._x000a_"/>
            <x14:filter val="For each client:_x000a_-Identify all distinct financial goals explicitly mentioned in the transcript or planning documents (e.g., “university fund”, “retirement income”, “new house deposit”), consider &quot;Goals &amp; Purpose&quot; data field, &quot;Goal Name&quot; data field_x000a_-Treat goals as distinct when they have a clearly different purpose, time horizon, or target amount._x000a_-Count the number of distinct goals to produce a single numeric total for the client_x000a_-Exclude vague aspirations that are not clearly framed as separate goals (e.g., “just doing better financially”) and avoid double‑counting the same goal phrased in different ways"/>
            <x14:filter val="For each client's goal:_x000a_- Extract only statements where the client (or adviser summarizing the client) specifies the expected timeframe for achieving or funding that specific goal_x000a_- Include any of the following categories if directly stated or clearly implied: [Immediate; Short-term; Medium-term; Long-term]_x000a_- Exclude vague or non-specific references (e.g., “sometime later,” “in the future” without clarity)_x000a_- Retain as much specific phrasing as possible (e.g., “within 2 years”)_x000a_- Include negative/inverse statements if mentioned (e.g., “not in the short term”)_x000a_- Apply the rule independently to each goal, so multiple goals can each have their own timeframe"/>
          </mc:Choice>
          <mc:Fallback>
            <filter val="Extract adviser name from transcript introduction or default to &quot;xxx&quot;_x0009_"/>
            <filter val="Extract client full name(s) from adviser greetings, introductions, or direct address in transcript. Look for patterns like &quot;Good morning [Name]&quot;, &quot;Thank you [Name] for&quot;, client self-introductions"/>
            <filter val="Extract date from transcript metadata, or look for references like &quot;today is&quot;, &quot;our meeting on [date]&quot;, date stamps in transcript"/>
            <filter val="For each client, extract enum for explicit intent regarding contributions and plan review and map on [New Contribution, Review Existing, Both]"/>
            <filter val="For each client:_x000a_-Extract short narrative statements about risk_x000a_-Exclude pure numbers already stored in additional Data Fields from the sub-section._x000a_-Keep wording concise; split into separate bullets when they describe different aspects._x000a_"/>
          </mc:Fallback>
        </mc:AlternateContent>
      </filters>
    </filterColumn>
  </autoFilter>
  <tableColumns count="14">
    <tableColumn id="1" xr3:uid="{686D6089-00EA-41F7-9ED3-FD72ED86CC53}" name="#" dataDxfId="114"/>
    <tableColumn id="2" xr3:uid="{A6B8AAFF-B1F4-4158-8B6B-62D3E65E7ED6}" name="Section Name" dataDxfId="113"/>
    <tableColumn id="3" xr3:uid="{DC827650-4203-4D95-9CDF-E21D2FEAD68D}" name="Sub-Section" dataDxfId="112"/>
    <tableColumn id="4" xr3:uid="{6B7E9729-7BC5-4093-A648-C8FF8F0D213C}" name="Data Field" dataDxfId="111"/>
    <tableColumn id="5" xr3:uid="{190CD37A-6557-4EF5-A395-4495F35F6901}" name="New Field (Y/N)" dataDxfId="110"/>
    <tableColumn id="6" xr3:uid="{CC031FAA-86D3-4366-A136-E61C9CA7D6DF}" name="Field Description" dataDxfId="109"/>
    <tableColumn id="7" xr3:uid="{30BE857D-CFBE-4284-9168-1BFDE5565AE6}" name="Extracted Data Needed (Y/N)" dataDxfId="108"/>
    <tableColumn id="8" xr3:uid="{93DFE969-C24F-496B-A7F5-E9CFB40505B7}" name="Golden Source" dataDxfId="107"/>
    <tableColumn id="9" xr3:uid="{21D5CD37-4914-4131-BA9F-4207867A858C}" name="Documents extraction source(s)" dataDxfId="106"/>
    <tableColumn id="10" xr3:uid="{C40F0A7A-B07C-4C50-BC0A-B328EDEF5BB2}" name="Business Rule (For each client, extraction) - Only for New Data fields" dataDxfId="105"/>
    <tableColumn id="11" xr3:uid="{4841D0A8-361B-4362-B774-E8CBE829A9A8}" name="Business Rule (Application)" dataDxfId="104"/>
    <tableColumn id="12" xr3:uid="{A7E9A75B-F5D0-42F4-811C-F6249EA79EAD}" name="Business Rule Type" dataDxfId="103"/>
    <tableColumn id="13" xr3:uid="{92E98C0D-F5CA-487D-B64F-1BC296F7A21B}" name="Data Model" dataDxfId="102"/>
    <tableColumn id="14" xr3:uid="{0738BC41-E5EF-4597-AC4F-D077F56786E5}" name="Field Client Name" dataDxfId="101"/>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843364-FDFD-4090-BE33-4E1D03BF9FC2}" name="Table3" displayName="Table3" ref="A1:N101" totalsRowShown="0" headerRowDxfId="100" dataDxfId="98" headerRowBorderDxfId="99" tableBorderDxfId="97">
  <autoFilter ref="A1:N101" xr:uid="{DD5CA195-34DE-4B49-A950-4A39BAC761B0}">
    <filterColumn colId="3">
      <colorFilter dxfId="96"/>
    </filterColumn>
  </autoFilter>
  <tableColumns count="14">
    <tableColumn id="1" xr3:uid="{DB70A7EA-FE87-428B-AC73-44E36A9F661C}" name="#" dataDxfId="95"/>
    <tableColumn id="2" xr3:uid="{DC0FF6CA-BE73-4AA7-BB30-9159A4E20DCB}" name="Section Name" dataDxfId="94"/>
    <tableColumn id="3" xr3:uid="{4E7CC2C2-EF00-47EE-99A8-E4D00CCFDE6A}" name="Sub-Section" dataDxfId="93"/>
    <tableColumn id="4" xr3:uid="{198E298A-55A7-4303-A794-ADA21DFDD58E}" name="Field" dataDxfId="92"/>
    <tableColumn id="5" xr3:uid="{52784DC5-F4E7-4914-B705-8E06B9E49FF2}" name="New Field (Y/N)" dataDxfId="91"/>
    <tableColumn id="6" xr3:uid="{65ACDC43-7D91-466E-8FB6-2C107809D5AA}" name="Field Description" dataDxfId="90"/>
    <tableColumn id="7" xr3:uid="{7489636F-97A0-4B5A-BE52-EA294751B63C}" name="Extracted Data Needed (Y/N)" dataDxfId="89"/>
    <tableColumn id="8" xr3:uid="{CACFD8F5-A29F-47DC-B681-EF3FA48A7E6F}" name="Golden Source" dataDxfId="88"/>
    <tableColumn id="9" xr3:uid="{1567ED0C-8C39-48C6-BB17-E145818C70A8}" name="Documents extraction source(s)" dataDxfId="87"/>
    <tableColumn id="10" xr3:uid="{DD1C54E5-99DD-4F09-B392-0E026B0BFF0A}" name="Business Rule (For each client, extraction) - Only for New Data fields" dataDxfId="86"/>
    <tableColumn id="11" xr3:uid="{FAD24EC3-6263-49EC-99C8-CA419431ED54}" name="Business Rule (Application)" dataDxfId="85"/>
    <tableColumn id="12" xr3:uid="{784D85C2-2BEC-4092-A3FB-0D254E223F2B}" name="Business Rule Type" dataDxfId="84"/>
    <tableColumn id="13" xr3:uid="{C9D78C72-DA2A-46EC-905D-10AF4146F810}" name="Data Model" dataDxfId="83"/>
    <tableColumn id="14" xr3:uid="{5868865E-CDAA-48C8-B1E3-E9B4C4DFE8D0}" name="Field Client Name" dataDxfId="8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368823-DF91-44C5-AA73-A7C7420ACC53}" name="Table33" displayName="Table33" ref="A1:N14" totalsRowShown="0" headerRowDxfId="81" dataDxfId="79" headerRowBorderDxfId="80" tableBorderDxfId="78">
  <autoFilter ref="A1:N14" xr:uid="{DD5CA195-34DE-4B49-A950-4A39BAC761B0}"/>
  <tableColumns count="14">
    <tableColumn id="1" xr3:uid="{BEEF8A7C-A9CC-423B-B3A8-36D2C973618B}" name="#" dataDxfId="77"/>
    <tableColumn id="2" xr3:uid="{2238465F-40FB-474B-B38B-BD19FE78A187}" name="Section Name" dataDxfId="76"/>
    <tableColumn id="3" xr3:uid="{64B1974D-6839-4FAD-9DD2-170B7A89A5B0}" name="Sub-Section" dataDxfId="75"/>
    <tableColumn id="4" xr3:uid="{723456F9-ABA5-4817-BA94-2167541C9E29}" name="Data Field" dataDxfId="74"/>
    <tableColumn id="5" xr3:uid="{6436574A-F2A5-456B-9DB3-F697168F054A}" name="New Field (Y/N)" dataDxfId="73"/>
    <tableColumn id="6" xr3:uid="{1CA98D44-DB62-4EC7-B272-32D08C43C663}" name="Field Description" dataDxfId="72"/>
    <tableColumn id="7" xr3:uid="{4A2F3545-CC49-4277-B7DA-3F91A36EC04A}" name="Extracted Data Needed (Y/N)" dataDxfId="71"/>
    <tableColumn id="8" xr3:uid="{3CDF70C9-140B-4376-A173-9CFCDDF640EC}" name="Golden Source" dataDxfId="70"/>
    <tableColumn id="9" xr3:uid="{144CE529-0625-4FFE-A8EC-B59DC3BA1518}" name="Documents extraction source(s)" dataDxfId="69"/>
    <tableColumn id="10" xr3:uid="{D79DF2F1-D86B-40E1-A1A7-7CD23FBAECA5}" name="Business Rule (For each client, extraction) - Only for New Data fields" dataDxfId="68"/>
    <tableColumn id="11" xr3:uid="{9DB28398-EF0B-418C-BE1E-045F17362106}" name="Business Rule (Application)" dataDxfId="67"/>
    <tableColumn id="12" xr3:uid="{350ECC7D-3701-42D4-BF79-9900E5B5C2B0}" name="Business Rule Type" dataDxfId="66"/>
    <tableColumn id="13" xr3:uid="{2DB79D46-CB85-4D0E-9FB4-F433AF113FE6}" name="Data Model" dataDxfId="65"/>
    <tableColumn id="14" xr3:uid="{B8D24764-3D71-4DC3-B4E3-6C40DF9DD16D}" name="Field Client Name" dataDxfId="64"/>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CCF864-3C28-4B03-849C-82D6B5463A2D}" name="Table4" displayName="Table4" ref="A1:X14" totalsRowShown="0" headerRowDxfId="63" dataDxfId="62" tableBorderDxfId="61">
  <autoFilter ref="A1:X14" xr:uid="{5ACCF864-3C28-4B03-849C-82D6B5463A2D}"/>
  <tableColumns count="24">
    <tableColumn id="1" xr3:uid="{1644A5AB-A508-483E-ADE7-FC02E0068A97}" name="#" dataDxfId="60"/>
    <tableColumn id="2" xr3:uid="{4B7EE57A-50D2-486A-8ECB-CD56FA8E82A7}" name="Section / Data Category" dataDxfId="59"/>
    <tableColumn id="3" xr3:uid="{6E13170A-B80E-419C-A185-2CB4CAB2F12F}" name="Field" dataDxfId="58"/>
    <tableColumn id="4" xr3:uid="{1D8B5B64-6101-4D2C-8930-8D8F08843833}" name="Data Type"/>
    <tableColumn id="5" xr3:uid="{329CAA48-A8D5-4781-8D71-4A5D8B1B2932}" name="Description"/>
    <tableColumn id="6" xr3:uid="{44097360-EE21-4641-857F-79EAA56286C7}" name="Context for Dev team"/>
    <tableColumn id="7" xr3:uid="{911367C5-D690-4F68-89CF-4456E83D9D6F}" name="Is this a PII field?" dataDxfId="57"/>
    <tableColumn id="8" xr3:uid="{1423067B-DF51-44D2-A1E3-1783EE68B69C}" name="Documents extraction source" dataDxfId="56"/>
    <tableColumn id="9" xr3:uid="{B123FE76-5A2F-4396-A213-65CADD1F2C80}" name="Recommendation Report" dataDxfId="55"/>
    <tableColumn id="10" xr3:uid="{E5EFA073-CBD9-4BC9-8522-E87801A25B8B}" name="Risk Assessment Questionnaire" dataDxfId="54"/>
    <tableColumn id="11" xr3:uid="{E15094F9-82A7-493D-A28A-474CBCE26228}" name="Financial Planning Questionnaire" dataDxfId="53"/>
    <tableColumn id="12" xr3:uid="{02584208-CE11-4898-B663-FE40B04C5D8A}" name="Illustration Report" dataDxfId="52"/>
    <tableColumn id="13" xr3:uid="{020A23B2-0CD7-44E4-92BD-2224E610687A}" name="Client Agreement" dataDxfId="51"/>
    <tableColumn id="14" xr3:uid="{A3917B31-AA79-4F6F-8897-855069CC47F5}" name="Client Fee Agreement" dataDxfId="50"/>
    <tableColumn id="15" xr3:uid="{245DD5DB-653E-43D3-8641-2D612173DC64}" name="SmartSearch" dataDxfId="49"/>
    <tableColumn id="16" xr3:uid="{E1ED6EFA-F578-45A7-AF07-E7901C63C262}" name="Pension Switch Analysis (PSA)" dataDxfId="48"/>
    <tableColumn id="17" xr3:uid="{501C0309-E5F2-4046-BCCC-C72648D44EE8}" name="Cashflow" dataDxfId="47"/>
    <tableColumn id="18" xr3:uid="{C90BA853-8EC8-41B0-B643-72E86F8CA6D5}" name="Ceding Scheme Info"/>
    <tableColumn id="19" xr3:uid="{9D214FAE-5B13-4CC6-B49A-9A6EE1E05910}" name="Comparision Research"/>
    <tableColumn id="20" xr3:uid="{B4533246-609E-4838-ACEF-D40390577E5C}" name="Extraction frequency from Recommendation Report"/>
    <tableColumn id="21" xr3:uid="{9820EF75-6785-4841-B7ED-6AAB586118A0}" name="Business Rule / Logic"/>
    <tableColumn id="22" xr3:uid="{10118D56-3B9B-4DED-8984-A2EF58BBA0B2}" name="Part of Sales Review form" dataDxfId="46"/>
    <tableColumn id="23" xr3:uid="{6C0C5A70-BDD9-4006-8ADE-9D0C025D3C8E}" name="Covered in Word document?" dataDxfId="45"/>
    <tableColumn id="24" xr3:uid="{8AABE8C5-9A2C-4215-8FFD-6AA6436F1B66}" name="Needs to be extracted for multiple occurences?" dataDxfId="44"/>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1F4F4E-0A14-4368-89AC-5A323DF4E7E9}" name="Table5" displayName="Table5" ref="A1:X75" totalsRowShown="0" headerRowDxfId="43" dataDxfId="42" tableBorderDxfId="41">
  <autoFilter ref="A1:X75" xr:uid="{161F4F4E-0A14-4368-89AC-5A323DF4E7E9}"/>
  <tableColumns count="24">
    <tableColumn id="1" xr3:uid="{E79A10BC-D731-4C62-8B7C-0E330E4B61AD}" name="#" dataDxfId="40"/>
    <tableColumn id="2" xr3:uid="{EE95DB36-9CC4-4716-A443-E673A4FE7BEE}" name="Section / Data Category" dataDxfId="39"/>
    <tableColumn id="3" xr3:uid="{28D4AA19-304C-452C-B759-7C944A33A8A4}" name="Field" dataDxfId="38"/>
    <tableColumn id="4" xr3:uid="{1C2F839A-F163-4258-9728-5B6F38671CF5}" name="Data Type" dataDxfId="37"/>
    <tableColumn id="5" xr3:uid="{97C68DA0-E06F-4D11-AB05-DB985E86EF33}" name="Description" dataDxfId="36"/>
    <tableColumn id="6" xr3:uid="{2D6331BD-A57A-4F30-B4C4-290FDC68659C}" name="Context for Dev team" dataDxfId="35"/>
    <tableColumn id="7" xr3:uid="{6809563C-9A2E-4594-9A9C-8C8DE9B17091}" name="Is this a PII field?" dataDxfId="34"/>
    <tableColumn id="8" xr3:uid="{10DDE556-52A7-4375-B908-1FD48824F320}" name="Documents extraction source" dataDxfId="33"/>
    <tableColumn id="9" xr3:uid="{31F51A37-9CE8-49D5-A647-FF998E1706DC}" name="Recommendation Report" dataDxfId="32"/>
    <tableColumn id="10" xr3:uid="{45B5D244-608F-41E9-ACF1-69D38EF008A2}" name="Risk Assessment Questionnaire" dataDxfId="31"/>
    <tableColumn id="11" xr3:uid="{B40AC596-C806-4133-8F17-7E7646E6D7FB}" name="Financial Planning Questionnaire" dataDxfId="30"/>
    <tableColumn id="12" xr3:uid="{AED0A071-CAAC-42B3-AF2F-68E2D769A799}" name="Illustration Report" dataDxfId="29"/>
    <tableColumn id="13" xr3:uid="{1F80ADF8-7ABD-447B-BCD4-41F77AA214EE}" name="Client Agreement" dataDxfId="28"/>
    <tableColumn id="14" xr3:uid="{0A48C0BF-EE01-4D86-A96E-C09D9A2828B5}" name="Client Fee Agreement" dataDxfId="27"/>
    <tableColumn id="15" xr3:uid="{E61157BC-8341-49F2-B22D-57D6C6AB8B23}" name="SmartSearch" dataDxfId="26"/>
    <tableColumn id="16" xr3:uid="{87438B25-EAA8-440C-8186-39DAADA95E13}" name="Pension Switch Analysis (PSA)" dataDxfId="25"/>
    <tableColumn id="17" xr3:uid="{384F60AB-E469-449D-99A3-C5121E388769}" name="Cashflow" dataDxfId="24"/>
    <tableColumn id="18" xr3:uid="{3CA02270-9ABD-4459-B8A0-D70DA805FA75}" name="Ceding Scheme Info" dataDxfId="23"/>
    <tableColumn id="19" xr3:uid="{FFDDF945-D5CD-447B-86D1-24AA81C123E8}" name="Comparision Research" dataDxfId="22"/>
    <tableColumn id="20" xr3:uid="{1FFA481B-E7C6-4063-BD6D-4A97D1AA326B}" name="Extraction frequency from Recommendation Report" dataDxfId="21"/>
    <tableColumn id="21" xr3:uid="{24B48192-53A0-40B2-8D6B-80B672CE4A21}" name="Business Rule / Logic" dataDxfId="20"/>
    <tableColumn id="22" xr3:uid="{4E56BF58-716A-4A75-9320-C6AC35A249D2}" name="Part of Sales Review form" dataDxfId="19"/>
    <tableColumn id="23" xr3:uid="{EE0A5629-0DCE-4E2D-819D-B5FF7DDDCEAE}" name="Covered in Word document?" dataDxfId="18"/>
    <tableColumn id="24" xr3:uid="{E26A56EE-74CB-4101-8D6A-9E3E9C124DBE}" name="Needs to be extracted for multiple occurences?" dataDxfId="17"/>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D2E776-26CA-4414-B90E-872DFC7942EA}" name="Table7" displayName="Table7" ref="A1:N38" totalsRowShown="0" headerRowDxfId="16" dataDxfId="15" tableBorderDxfId="14">
  <autoFilter ref="A1:N38" xr:uid="{13D2E776-26CA-4414-B90E-872DFC7942EA}"/>
  <tableColumns count="14">
    <tableColumn id="1" xr3:uid="{3EF9EB70-1DAE-4B1C-A254-58F11C683724}" name="#" dataDxfId="13"/>
    <tableColumn id="2" xr3:uid="{75F5BD49-1AA8-454A-AD01-A78FA144D364}" name="Section Name" dataDxfId="12"/>
    <tableColumn id="3" xr3:uid="{B9C4D9C9-080F-4EB3-AE56-9A7AF6D230A6}" name="Sub-Section" dataDxfId="11"/>
    <tableColumn id="4" xr3:uid="{5F42A1D5-D72F-4A53-B6DF-69B30890C388}" name="Data Field" dataDxfId="10"/>
    <tableColumn id="5" xr3:uid="{B8C58724-AA38-4704-921C-432BC60FB10F}" name="New Field (Y/N)" dataDxfId="9"/>
    <tableColumn id="6" xr3:uid="{4940F60D-9365-4CB2-A2D4-251988E4D74B}" name="Field Description" dataDxfId="8"/>
    <tableColumn id="7" xr3:uid="{88C4B44C-2122-4F98-98BE-9A17A7113116}" name="Extracted Data Needed (Y/N)" dataDxfId="7"/>
    <tableColumn id="8" xr3:uid="{B3A62731-FEA7-4AAC-A5F3-3F3500EB71CF}" name="Golden Source" dataDxfId="6"/>
    <tableColumn id="9" xr3:uid="{47B55B36-2D57-4830-9664-CC72123BBABC}" name="Documents extraction source(s)" dataDxfId="5"/>
    <tableColumn id="10" xr3:uid="{6C405067-C0E9-4D83-8ACC-53283D57C7A3}" name="Business Rule (For each client, extraction) - Only for New Data fields" dataDxfId="4"/>
    <tableColumn id="11" xr3:uid="{5B12A18F-25A0-4DE9-A5B3-D73A65291623}" name="Business Rule (Application)" dataDxfId="3"/>
    <tableColumn id="12" xr3:uid="{E5B784A2-6086-4960-AA38-B02B08C753FC}" name="Business Rule Type" dataDxfId="2"/>
    <tableColumn id="13" xr3:uid="{008D5485-2385-4C79-9255-1A99E396EFA5}" name="Data Model" dataDxfId="1"/>
    <tableColumn id="14" xr3:uid="{6E8909BE-CE18-4108-BBF4-99A3D8430C4D}" name="Field Client Nam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8.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0.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1.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3.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988C-5E14-4E5C-98EB-DEF2DB1D5820}">
  <dimension ref="A1:S108"/>
  <sheetViews>
    <sheetView zoomScale="85" zoomScaleNormal="98" workbookViewId="0">
      <pane xSplit="3" ySplit="1" topLeftCell="D2" activePane="bottomRight" state="frozen"/>
      <selection pane="topRight" activeCell="D1" sqref="D1"/>
      <selection pane="bottomLeft" activeCell="A2" sqref="A2"/>
      <selection pane="bottomRight" activeCell="F3" sqref="F3"/>
    </sheetView>
  </sheetViews>
  <sheetFormatPr defaultColWidth="23.81640625" defaultRowHeight="14.5" x14ac:dyDescent="0.35"/>
  <cols>
    <col min="1" max="1" width="4.26953125" bestFit="1" customWidth="1"/>
    <col min="2" max="2" width="23.81640625" customWidth="1"/>
    <col min="3" max="3" width="23.54296875" customWidth="1"/>
    <col min="5" max="5" width="46" customWidth="1"/>
    <col min="6" max="18" width="23.81640625" customWidth="1"/>
    <col min="19" max="19" width="52.81640625" customWidth="1"/>
  </cols>
  <sheetData>
    <row r="1" spans="1:19" ht="26" x14ac:dyDescent="0.35">
      <c r="A1" s="52" t="s">
        <v>0</v>
      </c>
      <c r="B1" s="52" t="s">
        <v>1</v>
      </c>
      <c r="C1" s="53" t="s">
        <v>2</v>
      </c>
      <c r="D1" s="54" t="s">
        <v>3</v>
      </c>
      <c r="E1" s="54" t="s">
        <v>4</v>
      </c>
      <c r="F1" s="52" t="s">
        <v>5</v>
      </c>
      <c r="G1" s="52" t="s">
        <v>6</v>
      </c>
      <c r="H1" s="52" t="s">
        <v>7</v>
      </c>
      <c r="I1" s="52" t="s">
        <v>8</v>
      </c>
      <c r="J1" s="52" t="s">
        <v>9</v>
      </c>
      <c r="K1" s="52" t="s">
        <v>10</v>
      </c>
      <c r="L1" s="52" t="s">
        <v>11</v>
      </c>
      <c r="M1" s="52" t="s">
        <v>12</v>
      </c>
      <c r="N1" s="52" t="s">
        <v>13</v>
      </c>
      <c r="O1" s="52" t="s">
        <v>14</v>
      </c>
      <c r="P1" s="52" t="s">
        <v>15</v>
      </c>
      <c r="Q1" s="52" t="s">
        <v>16</v>
      </c>
      <c r="R1" s="52" t="s">
        <v>17</v>
      </c>
      <c r="S1" s="77" t="s">
        <v>18</v>
      </c>
    </row>
    <row r="2" spans="1:19" ht="52" x14ac:dyDescent="0.35">
      <c r="A2" s="33">
        <v>1</v>
      </c>
      <c r="B2" s="33" t="s">
        <v>19</v>
      </c>
      <c r="C2" s="34" t="s">
        <v>20</v>
      </c>
      <c r="D2" s="34" t="s">
        <v>21</v>
      </c>
      <c r="E2" s="34" t="s">
        <v>22</v>
      </c>
      <c r="F2" s="34" t="s">
        <v>23</v>
      </c>
      <c r="G2" s="34" t="s">
        <v>24</v>
      </c>
      <c r="H2" s="34" t="s">
        <v>24</v>
      </c>
      <c r="I2" s="34" t="s">
        <v>25</v>
      </c>
      <c r="J2" s="34" t="s">
        <v>24</v>
      </c>
      <c r="K2" s="34" t="s">
        <v>24</v>
      </c>
      <c r="L2" s="34" t="s">
        <v>24</v>
      </c>
      <c r="M2" s="34" t="s">
        <v>25</v>
      </c>
      <c r="N2" s="34" t="s">
        <v>24</v>
      </c>
      <c r="O2" s="34" t="s">
        <v>24</v>
      </c>
      <c r="P2" s="34"/>
      <c r="Q2" s="34"/>
      <c r="R2" s="34" t="s">
        <v>26</v>
      </c>
      <c r="S2" s="34" t="s">
        <v>27</v>
      </c>
    </row>
    <row r="3" spans="1:19" ht="117" x14ac:dyDescent="0.35">
      <c r="A3" s="33">
        <v>2</v>
      </c>
      <c r="B3" s="33" t="s">
        <v>19</v>
      </c>
      <c r="C3" s="34" t="s">
        <v>28</v>
      </c>
      <c r="D3" s="34" t="s">
        <v>21</v>
      </c>
      <c r="E3" s="34" t="s">
        <v>29</v>
      </c>
      <c r="F3" s="34" t="s">
        <v>30</v>
      </c>
      <c r="G3" s="34" t="s">
        <v>25</v>
      </c>
      <c r="H3" s="34" t="s">
        <v>25</v>
      </c>
      <c r="I3" s="34" t="s">
        <v>25</v>
      </c>
      <c r="J3" s="34" t="s">
        <v>25</v>
      </c>
      <c r="K3" s="34" t="s">
        <v>25</v>
      </c>
      <c r="L3" s="34" t="s">
        <v>25</v>
      </c>
      <c r="M3" s="34" t="s">
        <v>25</v>
      </c>
      <c r="N3" s="34" t="s">
        <v>25</v>
      </c>
      <c r="O3" s="34" t="s">
        <v>25</v>
      </c>
      <c r="P3" s="34" t="s">
        <v>25</v>
      </c>
      <c r="Q3" s="34"/>
      <c r="R3" s="34" t="s">
        <v>31</v>
      </c>
      <c r="S3" s="34" t="s">
        <v>32</v>
      </c>
    </row>
    <row r="4" spans="1:19" ht="65" x14ac:dyDescent="0.35">
      <c r="A4" s="33">
        <v>3</v>
      </c>
      <c r="B4" s="33" t="s">
        <v>19</v>
      </c>
      <c r="C4" s="34" t="s">
        <v>33</v>
      </c>
      <c r="D4" s="34" t="s">
        <v>34</v>
      </c>
      <c r="E4" s="34" t="s">
        <v>35</v>
      </c>
      <c r="F4" s="34" t="s">
        <v>36</v>
      </c>
      <c r="G4" s="34" t="s">
        <v>24</v>
      </c>
      <c r="H4" s="34" t="s">
        <v>24</v>
      </c>
      <c r="I4" s="34" t="s">
        <v>25</v>
      </c>
      <c r="J4" s="34" t="s">
        <v>25</v>
      </c>
      <c r="K4" s="34" t="s">
        <v>24</v>
      </c>
      <c r="L4" s="34" t="s">
        <v>24</v>
      </c>
      <c r="M4" s="34" t="s">
        <v>25</v>
      </c>
      <c r="N4" s="34" t="s">
        <v>25</v>
      </c>
      <c r="O4" s="34" t="s">
        <v>25</v>
      </c>
      <c r="P4" s="34"/>
      <c r="Q4" s="34" t="s">
        <v>25</v>
      </c>
      <c r="R4" s="34" t="s">
        <v>26</v>
      </c>
      <c r="S4" s="34" t="s">
        <v>37</v>
      </c>
    </row>
    <row r="5" spans="1:19" ht="65" x14ac:dyDescent="0.35">
      <c r="A5" s="33">
        <v>4</v>
      </c>
      <c r="B5" s="33" t="s">
        <v>19</v>
      </c>
      <c r="C5" s="34" t="s">
        <v>38</v>
      </c>
      <c r="D5" s="34" t="s">
        <v>39</v>
      </c>
      <c r="E5" s="34" t="s">
        <v>40</v>
      </c>
      <c r="F5" s="34" t="s">
        <v>41</v>
      </c>
      <c r="G5" s="34" t="s">
        <v>25</v>
      </c>
      <c r="H5" s="34" t="s">
        <v>24</v>
      </c>
      <c r="I5" s="34" t="s">
        <v>25</v>
      </c>
      <c r="J5" s="34" t="s">
        <v>25</v>
      </c>
      <c r="K5" s="34" t="s">
        <v>24</v>
      </c>
      <c r="L5" s="34" t="s">
        <v>24</v>
      </c>
      <c r="M5" s="34" t="s">
        <v>24</v>
      </c>
      <c r="N5" s="34" t="s">
        <v>25</v>
      </c>
      <c r="O5" s="34" t="s">
        <v>25</v>
      </c>
      <c r="P5" s="34"/>
      <c r="Q5" s="34"/>
      <c r="R5" s="34" t="s">
        <v>42</v>
      </c>
      <c r="S5" s="34" t="s">
        <v>43</v>
      </c>
    </row>
    <row r="6" spans="1:19" ht="39" x14ac:dyDescent="0.35">
      <c r="A6" s="33">
        <v>5</v>
      </c>
      <c r="B6" s="33" t="s">
        <v>19</v>
      </c>
      <c r="C6" s="34" t="s">
        <v>44</v>
      </c>
      <c r="D6" s="34" t="s">
        <v>45</v>
      </c>
      <c r="E6" s="34" t="s">
        <v>46</v>
      </c>
      <c r="F6" s="34" t="s">
        <v>47</v>
      </c>
      <c r="G6" s="34" t="s">
        <v>25</v>
      </c>
      <c r="H6" s="34" t="s">
        <v>24</v>
      </c>
      <c r="I6" s="34" t="s">
        <v>25</v>
      </c>
      <c r="J6" s="34" t="s">
        <v>24</v>
      </c>
      <c r="K6" s="34" t="s">
        <v>24</v>
      </c>
      <c r="L6" s="34" t="s">
        <v>24</v>
      </c>
      <c r="M6" s="34" t="s">
        <v>24</v>
      </c>
      <c r="N6" s="34" t="s">
        <v>24</v>
      </c>
      <c r="O6" s="34" t="s">
        <v>24</v>
      </c>
      <c r="P6" s="34"/>
      <c r="Q6" s="34"/>
      <c r="R6" s="34" t="s">
        <v>31</v>
      </c>
      <c r="S6" s="34" t="s">
        <v>48</v>
      </c>
    </row>
    <row r="7" spans="1:19" ht="52" x14ac:dyDescent="0.35">
      <c r="A7" s="33">
        <v>6</v>
      </c>
      <c r="B7" s="33" t="s">
        <v>19</v>
      </c>
      <c r="C7" s="34" t="s">
        <v>49</v>
      </c>
      <c r="D7" s="34" t="s">
        <v>39</v>
      </c>
      <c r="E7" s="34" t="s">
        <v>50</v>
      </c>
      <c r="F7" s="34" t="s">
        <v>51</v>
      </c>
      <c r="G7" s="34" t="s">
        <v>25</v>
      </c>
      <c r="H7" s="34" t="s">
        <v>24</v>
      </c>
      <c r="I7" s="34" t="s">
        <v>25</v>
      </c>
      <c r="J7" s="34" t="s">
        <v>25</v>
      </c>
      <c r="K7" s="34" t="s">
        <v>24</v>
      </c>
      <c r="L7" s="34" t="s">
        <v>24</v>
      </c>
      <c r="M7" s="34" t="s">
        <v>24</v>
      </c>
      <c r="N7" s="34" t="s">
        <v>24</v>
      </c>
      <c r="O7" s="34" t="s">
        <v>24</v>
      </c>
      <c r="P7" s="34" t="s">
        <v>25</v>
      </c>
      <c r="Q7" s="34"/>
      <c r="R7" s="34" t="s">
        <v>31</v>
      </c>
      <c r="S7" s="34" t="s">
        <v>52</v>
      </c>
    </row>
    <row r="8" spans="1:19" ht="52" x14ac:dyDescent="0.35">
      <c r="A8" s="33">
        <v>7</v>
      </c>
      <c r="B8" s="33" t="s">
        <v>19</v>
      </c>
      <c r="C8" s="34" t="s">
        <v>53</v>
      </c>
      <c r="D8" s="34" t="s">
        <v>21</v>
      </c>
      <c r="E8" s="34" t="s">
        <v>54</v>
      </c>
      <c r="F8" s="34" t="s">
        <v>47</v>
      </c>
      <c r="G8" s="34" t="s">
        <v>25</v>
      </c>
      <c r="H8" s="34" t="s">
        <v>24</v>
      </c>
      <c r="I8" s="34" t="s">
        <v>25</v>
      </c>
      <c r="J8" s="34" t="s">
        <v>24</v>
      </c>
      <c r="K8" s="34" t="s">
        <v>24</v>
      </c>
      <c r="L8" s="34" t="s">
        <v>24</v>
      </c>
      <c r="M8" s="34" t="s">
        <v>24</v>
      </c>
      <c r="N8" s="34" t="s">
        <v>24</v>
      </c>
      <c r="O8" s="34" t="s">
        <v>24</v>
      </c>
      <c r="P8" s="34"/>
      <c r="Q8" s="34"/>
      <c r="R8" s="34" t="s">
        <v>31</v>
      </c>
      <c r="S8" s="34" t="s">
        <v>55</v>
      </c>
    </row>
    <row r="9" spans="1:19" ht="39" x14ac:dyDescent="0.35">
      <c r="A9" s="33">
        <v>8</v>
      </c>
      <c r="B9" s="33" t="s">
        <v>19</v>
      </c>
      <c r="C9" s="34" t="s">
        <v>56</v>
      </c>
      <c r="D9" s="34" t="s">
        <v>45</v>
      </c>
      <c r="E9" s="34" t="s">
        <v>57</v>
      </c>
      <c r="F9" s="34" t="s">
        <v>47</v>
      </c>
      <c r="G9" s="34" t="s">
        <v>25</v>
      </c>
      <c r="H9" s="34" t="s">
        <v>24</v>
      </c>
      <c r="I9" s="34" t="s">
        <v>25</v>
      </c>
      <c r="J9" s="34" t="s">
        <v>24</v>
      </c>
      <c r="K9" s="34" t="s">
        <v>24</v>
      </c>
      <c r="L9" s="34" t="s">
        <v>24</v>
      </c>
      <c r="M9" s="34" t="s">
        <v>24</v>
      </c>
      <c r="N9" s="34" t="s">
        <v>24</v>
      </c>
      <c r="O9" s="34" t="s">
        <v>24</v>
      </c>
      <c r="P9" s="34"/>
      <c r="Q9" s="34"/>
      <c r="R9" s="34" t="s">
        <v>31</v>
      </c>
      <c r="S9" s="34" t="s">
        <v>58</v>
      </c>
    </row>
    <row r="10" spans="1:19" ht="78" x14ac:dyDescent="0.35">
      <c r="A10" s="33">
        <v>9</v>
      </c>
      <c r="B10" s="33" t="s">
        <v>19</v>
      </c>
      <c r="C10" s="34" t="s">
        <v>59</v>
      </c>
      <c r="D10" s="34" t="s">
        <v>39</v>
      </c>
      <c r="E10" s="34" t="s">
        <v>60</v>
      </c>
      <c r="F10" s="34" t="s">
        <v>47</v>
      </c>
      <c r="G10" s="34" t="s">
        <v>25</v>
      </c>
      <c r="H10" s="34" t="s">
        <v>24</v>
      </c>
      <c r="I10" s="34" t="s">
        <v>25</v>
      </c>
      <c r="J10" s="34" t="s">
        <v>24</v>
      </c>
      <c r="K10" s="34" t="s">
        <v>24</v>
      </c>
      <c r="L10" s="34" t="s">
        <v>24</v>
      </c>
      <c r="M10" s="34" t="s">
        <v>24</v>
      </c>
      <c r="N10" s="34" t="s">
        <v>24</v>
      </c>
      <c r="O10" s="34" t="s">
        <v>24</v>
      </c>
      <c r="P10" s="34"/>
      <c r="Q10" s="34"/>
      <c r="R10" s="34" t="s">
        <v>31</v>
      </c>
      <c r="S10" s="34" t="s">
        <v>61</v>
      </c>
    </row>
    <row r="11" spans="1:19" ht="39" x14ac:dyDescent="0.35">
      <c r="A11" s="33">
        <v>10</v>
      </c>
      <c r="B11" s="33" t="s">
        <v>19</v>
      </c>
      <c r="C11" s="91" t="s">
        <v>62</v>
      </c>
      <c r="D11" s="34" t="s">
        <v>39</v>
      </c>
      <c r="E11" s="34" t="s">
        <v>63</v>
      </c>
      <c r="F11" s="34" t="s">
        <v>47</v>
      </c>
      <c r="G11" s="34" t="s">
        <v>25</v>
      </c>
      <c r="H11" s="34" t="s">
        <v>24</v>
      </c>
      <c r="I11" s="34" t="s">
        <v>25</v>
      </c>
      <c r="J11" s="34" t="s">
        <v>24</v>
      </c>
      <c r="K11" s="34" t="s">
        <v>24</v>
      </c>
      <c r="L11" s="34" t="s">
        <v>24</v>
      </c>
      <c r="M11" s="34" t="s">
        <v>24</v>
      </c>
      <c r="N11" s="34" t="s">
        <v>24</v>
      </c>
      <c r="O11" s="34" t="s">
        <v>24</v>
      </c>
      <c r="P11" s="34"/>
      <c r="Q11" s="34"/>
      <c r="R11" s="34" t="s">
        <v>31</v>
      </c>
      <c r="S11" s="34" t="s">
        <v>64</v>
      </c>
    </row>
    <row r="12" spans="1:19" ht="39" x14ac:dyDescent="0.35">
      <c r="A12" s="33">
        <v>11</v>
      </c>
      <c r="B12" s="33" t="s">
        <v>19</v>
      </c>
      <c r="C12" s="34" t="s">
        <v>65</v>
      </c>
      <c r="D12" s="34" t="s">
        <v>21</v>
      </c>
      <c r="E12" s="34" t="s">
        <v>66</v>
      </c>
      <c r="F12" s="34" t="s">
        <v>47</v>
      </c>
      <c r="G12" s="34" t="s">
        <v>25</v>
      </c>
      <c r="H12" s="34" t="s">
        <v>24</v>
      </c>
      <c r="I12" s="34" t="s">
        <v>25</v>
      </c>
      <c r="J12" s="34" t="s">
        <v>24</v>
      </c>
      <c r="K12" s="34" t="s">
        <v>24</v>
      </c>
      <c r="L12" s="34" t="s">
        <v>24</v>
      </c>
      <c r="M12" s="34" t="s">
        <v>24</v>
      </c>
      <c r="N12" s="34" t="s">
        <v>24</v>
      </c>
      <c r="O12" s="34" t="s">
        <v>24</v>
      </c>
      <c r="P12" s="34"/>
      <c r="Q12" s="34"/>
      <c r="R12" s="34" t="s">
        <v>31</v>
      </c>
      <c r="S12" s="34" t="s">
        <v>67</v>
      </c>
    </row>
    <row r="13" spans="1:19" ht="26" x14ac:dyDescent="0.35">
      <c r="A13" s="33">
        <v>12</v>
      </c>
      <c r="B13" s="33" t="s">
        <v>19</v>
      </c>
      <c r="C13" s="34" t="s">
        <v>68</v>
      </c>
      <c r="D13" s="34" t="s">
        <v>45</v>
      </c>
      <c r="E13" s="34" t="s">
        <v>69</v>
      </c>
      <c r="F13" s="34" t="s">
        <v>8</v>
      </c>
      <c r="G13" s="34" t="s">
        <v>24</v>
      </c>
      <c r="H13" s="34" t="s">
        <v>24</v>
      </c>
      <c r="I13" s="34" t="s">
        <v>25</v>
      </c>
      <c r="J13" s="34" t="s">
        <v>24</v>
      </c>
      <c r="K13" s="34" t="s">
        <v>24</v>
      </c>
      <c r="L13" s="34" t="s">
        <v>24</v>
      </c>
      <c r="M13" s="34" t="s">
        <v>24</v>
      </c>
      <c r="N13" s="34" t="s">
        <v>24</v>
      </c>
      <c r="O13" s="34" t="s">
        <v>24</v>
      </c>
      <c r="P13" s="34"/>
      <c r="Q13" s="34"/>
      <c r="R13" s="34" t="s">
        <v>26</v>
      </c>
      <c r="S13" s="34" t="s">
        <v>70</v>
      </c>
    </row>
    <row r="14" spans="1:19" ht="26" x14ac:dyDescent="0.35">
      <c r="A14" s="33">
        <v>13</v>
      </c>
      <c r="B14" s="33" t="s">
        <v>19</v>
      </c>
      <c r="C14" s="34" t="s">
        <v>71</v>
      </c>
      <c r="D14" s="34" t="s">
        <v>45</v>
      </c>
      <c r="E14" s="34" t="s">
        <v>69</v>
      </c>
      <c r="F14" s="34" t="s">
        <v>8</v>
      </c>
      <c r="G14" s="34" t="s">
        <v>24</v>
      </c>
      <c r="H14" s="34" t="s">
        <v>24</v>
      </c>
      <c r="I14" s="34" t="s">
        <v>25</v>
      </c>
      <c r="J14" s="34" t="s">
        <v>24</v>
      </c>
      <c r="K14" s="34" t="s">
        <v>24</v>
      </c>
      <c r="L14" s="34" t="s">
        <v>24</v>
      </c>
      <c r="M14" s="34" t="s">
        <v>24</v>
      </c>
      <c r="N14" s="34" t="s">
        <v>24</v>
      </c>
      <c r="O14" s="34" t="s">
        <v>24</v>
      </c>
      <c r="P14" s="34"/>
      <c r="Q14" s="34"/>
      <c r="R14" s="34" t="s">
        <v>26</v>
      </c>
      <c r="S14" s="34" t="s">
        <v>72</v>
      </c>
    </row>
    <row r="15" spans="1:19" ht="26" x14ac:dyDescent="0.35">
      <c r="A15" s="33">
        <v>14</v>
      </c>
      <c r="B15" s="33" t="s">
        <v>19</v>
      </c>
      <c r="C15" s="34" t="s">
        <v>73</v>
      </c>
      <c r="D15" s="34" t="s">
        <v>45</v>
      </c>
      <c r="E15" s="34" t="s">
        <v>74</v>
      </c>
      <c r="F15" s="34" t="s">
        <v>8</v>
      </c>
      <c r="G15" s="34" t="s">
        <v>24</v>
      </c>
      <c r="H15" s="34" t="s">
        <v>24</v>
      </c>
      <c r="I15" s="34" t="s">
        <v>25</v>
      </c>
      <c r="J15" s="34" t="s">
        <v>24</v>
      </c>
      <c r="K15" s="34" t="s">
        <v>24</v>
      </c>
      <c r="L15" s="34" t="s">
        <v>24</v>
      </c>
      <c r="M15" s="34" t="s">
        <v>24</v>
      </c>
      <c r="N15" s="34" t="s">
        <v>24</v>
      </c>
      <c r="O15" s="34" t="s">
        <v>24</v>
      </c>
      <c r="P15" s="34"/>
      <c r="Q15" s="34"/>
      <c r="R15" s="34" t="s">
        <v>26</v>
      </c>
      <c r="S15" s="34" t="s">
        <v>75</v>
      </c>
    </row>
    <row r="16" spans="1:19" ht="39" x14ac:dyDescent="0.35">
      <c r="A16" s="33">
        <v>15</v>
      </c>
      <c r="B16" s="33" t="s">
        <v>19</v>
      </c>
      <c r="C16" s="34" t="s">
        <v>76</v>
      </c>
      <c r="D16" s="34" t="s">
        <v>45</v>
      </c>
      <c r="E16" s="34" t="s">
        <v>77</v>
      </c>
      <c r="F16" s="34" t="s">
        <v>47</v>
      </c>
      <c r="G16" s="34" t="s">
        <v>25</v>
      </c>
      <c r="H16" s="34" t="s">
        <v>24</v>
      </c>
      <c r="I16" s="34" t="s">
        <v>25</v>
      </c>
      <c r="J16" s="34" t="s">
        <v>24</v>
      </c>
      <c r="K16" s="34" t="s">
        <v>24</v>
      </c>
      <c r="L16" s="34" t="s">
        <v>24</v>
      </c>
      <c r="M16" s="34" t="s">
        <v>24</v>
      </c>
      <c r="N16" s="34" t="s">
        <v>24</v>
      </c>
      <c r="O16" s="34" t="s">
        <v>24</v>
      </c>
      <c r="P16" s="34"/>
      <c r="Q16" s="34"/>
      <c r="R16" s="34"/>
      <c r="S16" s="34" t="s">
        <v>78</v>
      </c>
    </row>
    <row r="17" spans="1:19" ht="39" x14ac:dyDescent="0.35">
      <c r="A17" s="33">
        <v>16</v>
      </c>
      <c r="B17" s="33" t="s">
        <v>19</v>
      </c>
      <c r="C17" s="34" t="s">
        <v>79</v>
      </c>
      <c r="D17" s="34" t="s">
        <v>45</v>
      </c>
      <c r="E17" s="34" t="s">
        <v>80</v>
      </c>
      <c r="F17" s="34" t="s">
        <v>47</v>
      </c>
      <c r="G17" s="34" t="s">
        <v>25</v>
      </c>
      <c r="H17" s="34" t="s">
        <v>24</v>
      </c>
      <c r="I17" s="34" t="s">
        <v>25</v>
      </c>
      <c r="J17" s="34" t="s">
        <v>24</v>
      </c>
      <c r="K17" s="34" t="s">
        <v>24</v>
      </c>
      <c r="L17" s="34" t="s">
        <v>24</v>
      </c>
      <c r="M17" s="34" t="s">
        <v>24</v>
      </c>
      <c r="N17" s="34" t="s">
        <v>24</v>
      </c>
      <c r="O17" s="34" t="s">
        <v>24</v>
      </c>
      <c r="P17" s="34"/>
      <c r="Q17" s="34"/>
      <c r="R17" s="34"/>
      <c r="S17" s="34" t="s">
        <v>81</v>
      </c>
    </row>
    <row r="18" spans="1:19" ht="130" x14ac:dyDescent="0.35">
      <c r="A18" s="33">
        <v>17</v>
      </c>
      <c r="B18" s="33" t="s">
        <v>19</v>
      </c>
      <c r="C18" s="46" t="s">
        <v>82</v>
      </c>
      <c r="D18" s="34" t="s">
        <v>39</v>
      </c>
      <c r="E18" s="34" t="s">
        <v>83</v>
      </c>
      <c r="F18" s="34" t="s">
        <v>84</v>
      </c>
      <c r="G18" s="34" t="s">
        <v>24</v>
      </c>
      <c r="H18" s="34" t="s">
        <v>24</v>
      </c>
      <c r="I18" s="34" t="s">
        <v>24</v>
      </c>
      <c r="J18" s="34" t="s">
        <v>24</v>
      </c>
      <c r="K18" s="34" t="s">
        <v>24</v>
      </c>
      <c r="L18" s="34" t="s">
        <v>24</v>
      </c>
      <c r="M18" s="34" t="s">
        <v>24</v>
      </c>
      <c r="N18" s="34" t="s">
        <v>24</v>
      </c>
      <c r="O18" s="34" t="s">
        <v>24</v>
      </c>
      <c r="P18" s="34"/>
      <c r="Q18" s="34"/>
      <c r="R18" s="34"/>
      <c r="S18" s="34" t="s">
        <v>85</v>
      </c>
    </row>
    <row r="19" spans="1:19" ht="39" x14ac:dyDescent="0.35">
      <c r="A19" s="33">
        <v>18</v>
      </c>
      <c r="B19" s="33" t="s">
        <v>19</v>
      </c>
      <c r="C19" s="34" t="s">
        <v>86</v>
      </c>
      <c r="D19" s="34" t="s">
        <v>21</v>
      </c>
      <c r="E19" s="34" t="s">
        <v>87</v>
      </c>
      <c r="F19" s="34" t="s">
        <v>47</v>
      </c>
      <c r="G19" s="33" t="s">
        <v>25</v>
      </c>
      <c r="H19" s="33" t="s">
        <v>24</v>
      </c>
      <c r="I19" s="33" t="s">
        <v>25</v>
      </c>
      <c r="J19" s="33" t="s">
        <v>24</v>
      </c>
      <c r="K19" s="33" t="s">
        <v>24</v>
      </c>
      <c r="L19" s="33" t="s">
        <v>24</v>
      </c>
      <c r="M19" s="33" t="s">
        <v>24</v>
      </c>
      <c r="N19" s="33" t="s">
        <v>24</v>
      </c>
      <c r="O19" s="33" t="s">
        <v>24</v>
      </c>
      <c r="P19" s="33"/>
      <c r="Q19" s="33"/>
      <c r="R19" s="33"/>
      <c r="S19" s="56" t="s">
        <v>88</v>
      </c>
    </row>
    <row r="20" spans="1:19" ht="39" x14ac:dyDescent="0.35">
      <c r="A20" s="33">
        <v>19</v>
      </c>
      <c r="B20" s="33" t="s">
        <v>19</v>
      </c>
      <c r="C20" s="34" t="s">
        <v>89</v>
      </c>
      <c r="D20" s="34" t="s">
        <v>45</v>
      </c>
      <c r="E20" s="34" t="s">
        <v>90</v>
      </c>
      <c r="F20" s="34" t="s">
        <v>47</v>
      </c>
      <c r="G20" s="34" t="s">
        <v>25</v>
      </c>
      <c r="H20" s="34" t="s">
        <v>24</v>
      </c>
      <c r="I20" s="34" t="s">
        <v>25</v>
      </c>
      <c r="J20" s="34" t="s">
        <v>24</v>
      </c>
      <c r="K20" s="34" t="s">
        <v>24</v>
      </c>
      <c r="L20" s="34" t="s">
        <v>24</v>
      </c>
      <c r="M20" s="34" t="s">
        <v>24</v>
      </c>
      <c r="N20" s="34" t="s">
        <v>24</v>
      </c>
      <c r="O20" s="34" t="s">
        <v>24</v>
      </c>
      <c r="P20" s="34" t="s">
        <v>24</v>
      </c>
      <c r="Q20" s="34"/>
      <c r="R20" s="34"/>
      <c r="S20" s="56" t="s">
        <v>91</v>
      </c>
    </row>
    <row r="21" spans="1:19" ht="39" x14ac:dyDescent="0.35">
      <c r="A21" s="33">
        <v>20</v>
      </c>
      <c r="B21" s="33" t="s">
        <v>19</v>
      </c>
      <c r="C21" s="34" t="s">
        <v>92</v>
      </c>
      <c r="D21" s="34" t="s">
        <v>45</v>
      </c>
      <c r="E21" s="34" t="s">
        <v>93</v>
      </c>
      <c r="F21" s="34" t="s">
        <v>8</v>
      </c>
      <c r="G21" s="34" t="s">
        <v>24</v>
      </c>
      <c r="H21" s="34" t="s">
        <v>24</v>
      </c>
      <c r="I21" s="34" t="s">
        <v>25</v>
      </c>
      <c r="J21" s="34" t="s">
        <v>24</v>
      </c>
      <c r="K21" s="34" t="s">
        <v>24</v>
      </c>
      <c r="L21" s="34" t="s">
        <v>24</v>
      </c>
      <c r="M21" s="34" t="s">
        <v>24</v>
      </c>
      <c r="N21" s="34" t="s">
        <v>24</v>
      </c>
      <c r="O21" s="34" t="s">
        <v>24</v>
      </c>
      <c r="P21" s="34" t="s">
        <v>24</v>
      </c>
      <c r="Q21" s="34"/>
      <c r="R21" s="34"/>
      <c r="S21" s="56" t="s">
        <v>94</v>
      </c>
    </row>
    <row r="22" spans="1:19" ht="26" x14ac:dyDescent="0.35">
      <c r="A22" s="33">
        <v>21</v>
      </c>
      <c r="B22" s="34" t="s">
        <v>19</v>
      </c>
      <c r="C22" s="34" t="s">
        <v>95</v>
      </c>
      <c r="D22" s="34" t="s">
        <v>21</v>
      </c>
      <c r="E22" s="34" t="s">
        <v>96</v>
      </c>
      <c r="F22" s="34" t="s">
        <v>23</v>
      </c>
      <c r="G22" s="34"/>
      <c r="H22" s="34"/>
      <c r="I22" s="34" t="s">
        <v>25</v>
      </c>
      <c r="J22" s="34"/>
      <c r="K22" s="34"/>
      <c r="L22" s="34"/>
      <c r="M22" s="34" t="s">
        <v>25</v>
      </c>
      <c r="N22" s="34"/>
      <c r="O22" s="34"/>
      <c r="P22" s="34"/>
      <c r="Q22" s="34"/>
      <c r="R22" s="34"/>
      <c r="S22" s="56" t="s">
        <v>97</v>
      </c>
    </row>
    <row r="23" spans="1:19" ht="130" x14ac:dyDescent="0.35">
      <c r="A23" s="33">
        <v>22</v>
      </c>
      <c r="B23" s="33" t="s">
        <v>19</v>
      </c>
      <c r="C23" s="34" t="s">
        <v>98</v>
      </c>
      <c r="D23" s="34" t="s">
        <v>45</v>
      </c>
      <c r="E23" s="34" t="s">
        <v>99</v>
      </c>
      <c r="F23" s="34" t="s">
        <v>47</v>
      </c>
      <c r="G23" s="34" t="s">
        <v>25</v>
      </c>
      <c r="H23" s="34" t="s">
        <v>24</v>
      </c>
      <c r="I23" s="34" t="s">
        <v>25</v>
      </c>
      <c r="J23" s="34" t="s">
        <v>24</v>
      </c>
      <c r="K23" s="34" t="s">
        <v>24</v>
      </c>
      <c r="L23" s="34" t="s">
        <v>24</v>
      </c>
      <c r="M23" s="34" t="s">
        <v>24</v>
      </c>
      <c r="N23" s="34" t="s">
        <v>24</v>
      </c>
      <c r="O23" s="34" t="s">
        <v>24</v>
      </c>
      <c r="P23" s="34" t="s">
        <v>24</v>
      </c>
      <c r="Q23" s="34" t="s">
        <v>24</v>
      </c>
      <c r="R23" s="34"/>
      <c r="S23" s="49" t="s">
        <v>100</v>
      </c>
    </row>
    <row r="24" spans="1:19" ht="169" x14ac:dyDescent="0.35">
      <c r="A24" s="33">
        <v>24</v>
      </c>
      <c r="B24" s="33" t="s">
        <v>101</v>
      </c>
      <c r="C24" s="34" t="s">
        <v>102</v>
      </c>
      <c r="D24" s="34" t="s">
        <v>39</v>
      </c>
      <c r="E24" s="34" t="s">
        <v>103</v>
      </c>
      <c r="F24" s="34" t="s">
        <v>47</v>
      </c>
      <c r="G24" s="34" t="s">
        <v>25</v>
      </c>
      <c r="H24" s="34" t="s">
        <v>24</v>
      </c>
      <c r="I24" s="34" t="s">
        <v>25</v>
      </c>
      <c r="J24" s="34" t="s">
        <v>24</v>
      </c>
      <c r="K24" s="34" t="s">
        <v>24</v>
      </c>
      <c r="L24" s="34" t="s">
        <v>24</v>
      </c>
      <c r="M24" s="34" t="s">
        <v>24</v>
      </c>
      <c r="N24" s="34" t="s">
        <v>24</v>
      </c>
      <c r="O24" s="34" t="s">
        <v>24</v>
      </c>
      <c r="P24" s="34"/>
      <c r="Q24" s="34"/>
      <c r="R24" s="34"/>
      <c r="S24" s="34" t="s">
        <v>104</v>
      </c>
    </row>
    <row r="25" spans="1:19" ht="169" x14ac:dyDescent="0.35">
      <c r="A25" s="33">
        <v>25</v>
      </c>
      <c r="B25" s="33" t="s">
        <v>101</v>
      </c>
      <c r="C25" s="34" t="s">
        <v>105</v>
      </c>
      <c r="D25" s="34" t="s">
        <v>39</v>
      </c>
      <c r="E25" s="34" t="s">
        <v>106</v>
      </c>
      <c r="F25" s="34" t="s">
        <v>47</v>
      </c>
      <c r="G25" s="34" t="s">
        <v>25</v>
      </c>
      <c r="H25" s="34" t="s">
        <v>24</v>
      </c>
      <c r="I25" s="34" t="s">
        <v>25</v>
      </c>
      <c r="J25" s="34" t="s">
        <v>24</v>
      </c>
      <c r="K25" s="34" t="s">
        <v>24</v>
      </c>
      <c r="L25" s="34" t="s">
        <v>24</v>
      </c>
      <c r="M25" s="34" t="s">
        <v>24</v>
      </c>
      <c r="N25" s="34" t="s">
        <v>24</v>
      </c>
      <c r="O25" s="34" t="s">
        <v>24</v>
      </c>
      <c r="P25" s="34"/>
      <c r="Q25" s="34"/>
      <c r="R25" s="34"/>
      <c r="S25" s="34" t="s">
        <v>107</v>
      </c>
    </row>
    <row r="26" spans="1:19" ht="169" x14ac:dyDescent="0.35">
      <c r="A26" s="33">
        <v>26</v>
      </c>
      <c r="B26" s="33" t="s">
        <v>101</v>
      </c>
      <c r="C26" s="34" t="s">
        <v>108</v>
      </c>
      <c r="D26" s="34" t="s">
        <v>39</v>
      </c>
      <c r="E26" s="34" t="s">
        <v>108</v>
      </c>
      <c r="F26" s="34" t="s">
        <v>8</v>
      </c>
      <c r="G26" s="34" t="s">
        <v>24</v>
      </c>
      <c r="H26" s="34" t="s">
        <v>24</v>
      </c>
      <c r="I26" s="34" t="s">
        <v>25</v>
      </c>
      <c r="J26" s="34" t="s">
        <v>24</v>
      </c>
      <c r="K26" s="34" t="s">
        <v>24</v>
      </c>
      <c r="L26" s="34" t="s">
        <v>24</v>
      </c>
      <c r="M26" s="34" t="s">
        <v>24</v>
      </c>
      <c r="N26" s="34" t="s">
        <v>24</v>
      </c>
      <c r="O26" s="34" t="s">
        <v>24</v>
      </c>
      <c r="P26" s="34"/>
      <c r="Q26" s="34"/>
      <c r="R26" s="34"/>
      <c r="S26" s="34" t="s">
        <v>109</v>
      </c>
    </row>
    <row r="27" spans="1:19" ht="182" x14ac:dyDescent="0.35">
      <c r="A27" s="33">
        <v>27</v>
      </c>
      <c r="B27" s="33" t="s">
        <v>101</v>
      </c>
      <c r="C27" s="34" t="s">
        <v>110</v>
      </c>
      <c r="D27" s="34" t="s">
        <v>39</v>
      </c>
      <c r="E27" s="34" t="s">
        <v>110</v>
      </c>
      <c r="F27" s="34" t="s">
        <v>8</v>
      </c>
      <c r="G27" s="34" t="s">
        <v>24</v>
      </c>
      <c r="H27" s="34" t="s">
        <v>24</v>
      </c>
      <c r="I27" s="34" t="s">
        <v>25</v>
      </c>
      <c r="J27" s="34" t="s">
        <v>24</v>
      </c>
      <c r="K27" s="34" t="s">
        <v>24</v>
      </c>
      <c r="L27" s="34" t="s">
        <v>24</v>
      </c>
      <c r="M27" s="34" t="s">
        <v>24</v>
      </c>
      <c r="N27" s="34" t="s">
        <v>24</v>
      </c>
      <c r="O27" s="34" t="s">
        <v>24</v>
      </c>
      <c r="P27" s="34"/>
      <c r="Q27" s="34"/>
      <c r="R27" s="34"/>
      <c r="S27" s="34" t="s">
        <v>111</v>
      </c>
    </row>
    <row r="28" spans="1:19" ht="182" x14ac:dyDescent="0.35">
      <c r="A28" s="33">
        <v>28</v>
      </c>
      <c r="B28" s="33" t="s">
        <v>101</v>
      </c>
      <c r="C28" s="34" t="s">
        <v>112</v>
      </c>
      <c r="D28" s="34" t="s">
        <v>39</v>
      </c>
      <c r="E28" s="34" t="s">
        <v>112</v>
      </c>
      <c r="F28" s="34" t="s">
        <v>8</v>
      </c>
      <c r="G28" s="34" t="s">
        <v>24</v>
      </c>
      <c r="H28" s="34" t="s">
        <v>24</v>
      </c>
      <c r="I28" s="34" t="s">
        <v>25</v>
      </c>
      <c r="J28" s="34" t="s">
        <v>24</v>
      </c>
      <c r="K28" s="34" t="s">
        <v>24</v>
      </c>
      <c r="L28" s="34" t="s">
        <v>24</v>
      </c>
      <c r="M28" s="34" t="s">
        <v>24</v>
      </c>
      <c r="N28" s="34" t="s">
        <v>24</v>
      </c>
      <c r="O28" s="34" t="s">
        <v>24</v>
      </c>
      <c r="P28" s="34"/>
      <c r="Q28" s="34"/>
      <c r="R28" s="34"/>
      <c r="S28" s="34" t="s">
        <v>113</v>
      </c>
    </row>
    <row r="29" spans="1:19" ht="169" x14ac:dyDescent="0.35">
      <c r="A29" s="33">
        <v>29</v>
      </c>
      <c r="B29" s="33" t="s">
        <v>101</v>
      </c>
      <c r="C29" s="34" t="s">
        <v>114</v>
      </c>
      <c r="D29" s="34" t="s">
        <v>39</v>
      </c>
      <c r="E29" s="34" t="s">
        <v>114</v>
      </c>
      <c r="F29" s="34" t="s">
        <v>8</v>
      </c>
      <c r="G29" s="34" t="s">
        <v>24</v>
      </c>
      <c r="H29" s="34" t="s">
        <v>24</v>
      </c>
      <c r="I29" s="34" t="s">
        <v>25</v>
      </c>
      <c r="J29" s="34" t="s">
        <v>24</v>
      </c>
      <c r="K29" s="34" t="s">
        <v>24</v>
      </c>
      <c r="L29" s="34" t="s">
        <v>24</v>
      </c>
      <c r="M29" s="34" t="s">
        <v>24</v>
      </c>
      <c r="N29" s="34" t="s">
        <v>24</v>
      </c>
      <c r="O29" s="34" t="s">
        <v>24</v>
      </c>
      <c r="P29" s="34"/>
      <c r="Q29" s="34"/>
      <c r="R29" s="34"/>
      <c r="S29" s="34" t="s">
        <v>115</v>
      </c>
    </row>
    <row r="30" spans="1:19" ht="169" x14ac:dyDescent="0.35">
      <c r="A30" s="33">
        <v>30</v>
      </c>
      <c r="B30" s="33" t="s">
        <v>101</v>
      </c>
      <c r="C30" s="34" t="s">
        <v>116</v>
      </c>
      <c r="D30" s="34" t="s">
        <v>39</v>
      </c>
      <c r="E30" s="34" t="s">
        <v>116</v>
      </c>
      <c r="F30" s="34" t="s">
        <v>8</v>
      </c>
      <c r="G30" s="34" t="s">
        <v>24</v>
      </c>
      <c r="H30" s="34" t="s">
        <v>24</v>
      </c>
      <c r="I30" s="34" t="s">
        <v>25</v>
      </c>
      <c r="J30" s="34" t="s">
        <v>24</v>
      </c>
      <c r="K30" s="34" t="s">
        <v>24</v>
      </c>
      <c r="L30" s="34" t="s">
        <v>24</v>
      </c>
      <c r="M30" s="34" t="s">
        <v>24</v>
      </c>
      <c r="N30" s="34" t="s">
        <v>24</v>
      </c>
      <c r="O30" s="34" t="s">
        <v>24</v>
      </c>
      <c r="P30" s="34"/>
      <c r="Q30" s="34"/>
      <c r="R30" s="34"/>
      <c r="S30" s="34" t="s">
        <v>117</v>
      </c>
    </row>
    <row r="31" spans="1:19" ht="182" x14ac:dyDescent="0.35">
      <c r="A31" s="33">
        <v>31</v>
      </c>
      <c r="B31" s="33" t="s">
        <v>101</v>
      </c>
      <c r="C31" s="34" t="s">
        <v>118</v>
      </c>
      <c r="D31" s="34" t="s">
        <v>39</v>
      </c>
      <c r="E31" s="34" t="s">
        <v>118</v>
      </c>
      <c r="F31" s="34" t="s">
        <v>8</v>
      </c>
      <c r="G31" s="34" t="s">
        <v>24</v>
      </c>
      <c r="H31" s="34" t="s">
        <v>24</v>
      </c>
      <c r="I31" s="34" t="s">
        <v>25</v>
      </c>
      <c r="J31" s="34" t="s">
        <v>24</v>
      </c>
      <c r="K31" s="34" t="s">
        <v>24</v>
      </c>
      <c r="L31" s="34" t="s">
        <v>24</v>
      </c>
      <c r="M31" s="34" t="s">
        <v>24</v>
      </c>
      <c r="N31" s="34" t="s">
        <v>24</v>
      </c>
      <c r="O31" s="34" t="s">
        <v>24</v>
      </c>
      <c r="P31" s="34"/>
      <c r="Q31" s="34"/>
      <c r="R31" s="34"/>
      <c r="S31" s="34" t="s">
        <v>119</v>
      </c>
    </row>
    <row r="32" spans="1:19" ht="169" x14ac:dyDescent="0.35">
      <c r="A32" s="33">
        <v>32</v>
      </c>
      <c r="B32" s="33" t="s">
        <v>101</v>
      </c>
      <c r="C32" s="34" t="s">
        <v>120</v>
      </c>
      <c r="D32" s="34" t="s">
        <v>39</v>
      </c>
      <c r="E32" s="34" t="s">
        <v>120</v>
      </c>
      <c r="F32" s="34" t="s">
        <v>8</v>
      </c>
      <c r="G32" s="34" t="s">
        <v>24</v>
      </c>
      <c r="H32" s="34" t="s">
        <v>24</v>
      </c>
      <c r="I32" s="34" t="s">
        <v>25</v>
      </c>
      <c r="J32" s="34" t="s">
        <v>24</v>
      </c>
      <c r="K32" s="34" t="s">
        <v>24</v>
      </c>
      <c r="L32" s="34" t="s">
        <v>24</v>
      </c>
      <c r="M32" s="34" t="s">
        <v>24</v>
      </c>
      <c r="N32" s="34" t="s">
        <v>24</v>
      </c>
      <c r="O32" s="34" t="s">
        <v>24</v>
      </c>
      <c r="P32" s="34"/>
      <c r="Q32" s="34"/>
      <c r="R32" s="34"/>
      <c r="S32" s="34" t="s">
        <v>121</v>
      </c>
    </row>
    <row r="33" spans="1:19" ht="182" x14ac:dyDescent="0.35">
      <c r="A33" s="33">
        <v>33</v>
      </c>
      <c r="B33" s="33" t="s">
        <v>101</v>
      </c>
      <c r="C33" s="34" t="s">
        <v>122</v>
      </c>
      <c r="D33" s="34" t="s">
        <v>39</v>
      </c>
      <c r="E33" s="34" t="s">
        <v>122</v>
      </c>
      <c r="F33" s="34" t="s">
        <v>8</v>
      </c>
      <c r="G33" s="34" t="s">
        <v>24</v>
      </c>
      <c r="H33" s="34" t="s">
        <v>24</v>
      </c>
      <c r="I33" s="34" t="s">
        <v>25</v>
      </c>
      <c r="J33" s="34" t="s">
        <v>24</v>
      </c>
      <c r="K33" s="34" t="s">
        <v>24</v>
      </c>
      <c r="L33" s="34" t="s">
        <v>24</v>
      </c>
      <c r="M33" s="34" t="s">
        <v>24</v>
      </c>
      <c r="N33" s="34" t="s">
        <v>24</v>
      </c>
      <c r="O33" s="34" t="s">
        <v>24</v>
      </c>
      <c r="P33" s="34"/>
      <c r="Q33" s="34"/>
      <c r="R33" s="34"/>
      <c r="S33" s="34" t="s">
        <v>123</v>
      </c>
    </row>
    <row r="34" spans="1:19" ht="208" x14ac:dyDescent="0.35">
      <c r="A34" s="33">
        <v>34</v>
      </c>
      <c r="B34" s="33" t="s">
        <v>101</v>
      </c>
      <c r="C34" s="8" t="s">
        <v>124</v>
      </c>
      <c r="D34" s="34" t="s">
        <v>39</v>
      </c>
      <c r="E34" s="34" t="s">
        <v>125</v>
      </c>
      <c r="F34" s="34" t="s">
        <v>47</v>
      </c>
      <c r="G34" s="34" t="s">
        <v>25</v>
      </c>
      <c r="H34" s="34" t="s">
        <v>24</v>
      </c>
      <c r="I34" s="34" t="s">
        <v>25</v>
      </c>
      <c r="J34" s="34" t="s">
        <v>24</v>
      </c>
      <c r="K34" s="34" t="s">
        <v>24</v>
      </c>
      <c r="L34" s="34" t="s">
        <v>24</v>
      </c>
      <c r="M34" s="34" t="s">
        <v>24</v>
      </c>
      <c r="N34" s="34" t="s">
        <v>24</v>
      </c>
      <c r="O34" s="34" t="s">
        <v>24</v>
      </c>
      <c r="P34" s="34"/>
      <c r="Q34" s="34"/>
      <c r="R34" s="34"/>
      <c r="S34" s="34" t="s">
        <v>126</v>
      </c>
    </row>
    <row r="35" spans="1:19" ht="130" x14ac:dyDescent="0.35">
      <c r="A35" s="33">
        <v>35</v>
      </c>
      <c r="B35" s="33" t="s">
        <v>101</v>
      </c>
      <c r="C35" s="34" t="s">
        <v>127</v>
      </c>
      <c r="D35" s="34" t="s">
        <v>39</v>
      </c>
      <c r="E35" s="34" t="s">
        <v>128</v>
      </c>
      <c r="F35" s="34" t="s">
        <v>47</v>
      </c>
      <c r="G35" s="34" t="s">
        <v>25</v>
      </c>
      <c r="H35" s="34" t="s">
        <v>24</v>
      </c>
      <c r="I35" s="34" t="s">
        <v>25</v>
      </c>
      <c r="J35" s="34" t="s">
        <v>24</v>
      </c>
      <c r="K35" s="34" t="s">
        <v>24</v>
      </c>
      <c r="L35" s="34" t="s">
        <v>24</v>
      </c>
      <c r="M35" s="34" t="s">
        <v>24</v>
      </c>
      <c r="N35" s="34" t="s">
        <v>24</v>
      </c>
      <c r="O35" s="34" t="s">
        <v>24</v>
      </c>
      <c r="P35" s="34"/>
      <c r="Q35" s="34"/>
      <c r="R35" s="34"/>
      <c r="S35" s="34" t="s">
        <v>129</v>
      </c>
    </row>
    <row r="36" spans="1:19" ht="130" x14ac:dyDescent="0.35">
      <c r="A36" s="33">
        <v>36</v>
      </c>
      <c r="B36" s="33" t="s">
        <v>101</v>
      </c>
      <c r="C36" s="34" t="s">
        <v>130</v>
      </c>
      <c r="D36" s="34" t="s">
        <v>39</v>
      </c>
      <c r="E36" s="34" t="s">
        <v>131</v>
      </c>
      <c r="F36" s="34" t="s">
        <v>47</v>
      </c>
      <c r="G36" s="34" t="s">
        <v>25</v>
      </c>
      <c r="H36" s="34" t="s">
        <v>24</v>
      </c>
      <c r="I36" s="34" t="s">
        <v>25</v>
      </c>
      <c r="J36" s="34" t="s">
        <v>24</v>
      </c>
      <c r="K36" s="34" t="s">
        <v>24</v>
      </c>
      <c r="L36" s="34" t="s">
        <v>24</v>
      </c>
      <c r="M36" s="34" t="s">
        <v>24</v>
      </c>
      <c r="N36" s="34" t="s">
        <v>24</v>
      </c>
      <c r="O36" s="34" t="s">
        <v>24</v>
      </c>
      <c r="P36" s="34"/>
      <c r="Q36" s="34"/>
      <c r="R36" s="34"/>
      <c r="S36" s="34" t="s">
        <v>132</v>
      </c>
    </row>
    <row r="37" spans="1:19" ht="117" x14ac:dyDescent="0.35">
      <c r="A37" s="33">
        <v>37</v>
      </c>
      <c r="B37" s="33" t="s">
        <v>101</v>
      </c>
      <c r="C37" s="34" t="s">
        <v>133</v>
      </c>
      <c r="D37" s="34" t="s">
        <v>39</v>
      </c>
      <c r="E37" s="34" t="s">
        <v>134</v>
      </c>
      <c r="F37" s="34" t="s">
        <v>47</v>
      </c>
      <c r="G37" s="34" t="s">
        <v>25</v>
      </c>
      <c r="H37" s="34" t="s">
        <v>24</v>
      </c>
      <c r="I37" s="34" t="s">
        <v>25</v>
      </c>
      <c r="J37" s="34" t="s">
        <v>24</v>
      </c>
      <c r="K37" s="34" t="s">
        <v>24</v>
      </c>
      <c r="L37" s="34" t="s">
        <v>24</v>
      </c>
      <c r="M37" s="34" t="s">
        <v>24</v>
      </c>
      <c r="N37" s="34" t="s">
        <v>24</v>
      </c>
      <c r="O37" s="34" t="s">
        <v>24</v>
      </c>
      <c r="P37" s="34"/>
      <c r="Q37" s="34"/>
      <c r="R37" s="34"/>
      <c r="S37" s="34" t="s">
        <v>135</v>
      </c>
    </row>
    <row r="38" spans="1:19" ht="130" x14ac:dyDescent="0.35">
      <c r="A38" s="33">
        <v>38</v>
      </c>
      <c r="B38" s="33" t="s">
        <v>101</v>
      </c>
      <c r="C38" s="34" t="s">
        <v>136</v>
      </c>
      <c r="D38" s="34" t="s">
        <v>39</v>
      </c>
      <c r="E38" s="34" t="s">
        <v>137</v>
      </c>
      <c r="F38" s="34" t="s">
        <v>47</v>
      </c>
      <c r="G38" s="34" t="s">
        <v>25</v>
      </c>
      <c r="H38" s="34" t="s">
        <v>24</v>
      </c>
      <c r="I38" s="34" t="s">
        <v>25</v>
      </c>
      <c r="J38" s="34" t="s">
        <v>24</v>
      </c>
      <c r="K38" s="34" t="s">
        <v>24</v>
      </c>
      <c r="L38" s="34" t="s">
        <v>24</v>
      </c>
      <c r="M38" s="34" t="s">
        <v>24</v>
      </c>
      <c r="N38" s="34" t="s">
        <v>24</v>
      </c>
      <c r="O38" s="34" t="s">
        <v>24</v>
      </c>
      <c r="P38" s="34"/>
      <c r="Q38" s="34"/>
      <c r="R38" s="34"/>
      <c r="S38" s="34" t="s">
        <v>138</v>
      </c>
    </row>
    <row r="39" spans="1:19" ht="130" x14ac:dyDescent="0.35">
      <c r="A39" s="33">
        <v>39</v>
      </c>
      <c r="B39" s="33" t="s">
        <v>101</v>
      </c>
      <c r="C39" s="46" t="s">
        <v>139</v>
      </c>
      <c r="D39" s="34" t="s">
        <v>39</v>
      </c>
      <c r="E39" s="34" t="s">
        <v>140</v>
      </c>
      <c r="F39" s="34" t="s">
        <v>47</v>
      </c>
      <c r="G39" s="34" t="s">
        <v>25</v>
      </c>
      <c r="H39" s="34" t="s">
        <v>24</v>
      </c>
      <c r="I39" s="34" t="s">
        <v>25</v>
      </c>
      <c r="J39" s="34" t="s">
        <v>24</v>
      </c>
      <c r="K39" s="34" t="s">
        <v>24</v>
      </c>
      <c r="L39" s="34" t="s">
        <v>24</v>
      </c>
      <c r="M39" s="34" t="s">
        <v>24</v>
      </c>
      <c r="N39" s="34" t="s">
        <v>24</v>
      </c>
      <c r="O39" s="34" t="s">
        <v>24</v>
      </c>
      <c r="P39" s="34"/>
      <c r="Q39" s="34"/>
      <c r="R39" s="34"/>
      <c r="S39" s="34" t="s">
        <v>141</v>
      </c>
    </row>
    <row r="40" spans="1:19" ht="117" x14ac:dyDescent="0.35">
      <c r="A40" s="33">
        <v>40</v>
      </c>
      <c r="B40" s="33" t="s">
        <v>101</v>
      </c>
      <c r="C40" s="46" t="s">
        <v>142</v>
      </c>
      <c r="D40" s="34" t="s">
        <v>39</v>
      </c>
      <c r="E40" s="46" t="s">
        <v>143</v>
      </c>
      <c r="F40" s="34" t="s">
        <v>47</v>
      </c>
      <c r="G40" s="34" t="s">
        <v>25</v>
      </c>
      <c r="H40" s="34" t="s">
        <v>24</v>
      </c>
      <c r="I40" s="34" t="s">
        <v>25</v>
      </c>
      <c r="J40" s="34" t="s">
        <v>24</v>
      </c>
      <c r="K40" s="34" t="s">
        <v>24</v>
      </c>
      <c r="L40" s="34" t="s">
        <v>24</v>
      </c>
      <c r="M40" s="34" t="s">
        <v>24</v>
      </c>
      <c r="N40" s="34" t="s">
        <v>24</v>
      </c>
      <c r="O40" s="34" t="s">
        <v>24</v>
      </c>
      <c r="P40" s="34"/>
      <c r="Q40" s="34"/>
      <c r="R40" s="34"/>
      <c r="S40" s="34" t="s">
        <v>144</v>
      </c>
    </row>
    <row r="41" spans="1:19" ht="117" x14ac:dyDescent="0.35">
      <c r="A41" s="33">
        <v>41</v>
      </c>
      <c r="B41" s="33" t="s">
        <v>101</v>
      </c>
      <c r="C41" s="46" t="s">
        <v>145</v>
      </c>
      <c r="D41" s="34" t="s">
        <v>39</v>
      </c>
      <c r="E41" s="46" t="s">
        <v>146</v>
      </c>
      <c r="F41" s="34" t="s">
        <v>47</v>
      </c>
      <c r="G41" s="34" t="s">
        <v>25</v>
      </c>
      <c r="H41" s="34" t="s">
        <v>24</v>
      </c>
      <c r="I41" s="34" t="s">
        <v>25</v>
      </c>
      <c r="J41" s="34" t="s">
        <v>24</v>
      </c>
      <c r="K41" s="34" t="s">
        <v>24</v>
      </c>
      <c r="L41" s="34" t="s">
        <v>24</v>
      </c>
      <c r="M41" s="34" t="s">
        <v>24</v>
      </c>
      <c r="N41" s="34" t="s">
        <v>24</v>
      </c>
      <c r="O41" s="34" t="s">
        <v>24</v>
      </c>
      <c r="P41" s="34"/>
      <c r="Q41" s="34"/>
      <c r="R41" s="34"/>
      <c r="S41" s="34" t="s">
        <v>147</v>
      </c>
    </row>
    <row r="42" spans="1:19" ht="143" x14ac:dyDescent="0.35">
      <c r="A42" s="33">
        <v>42</v>
      </c>
      <c r="B42" s="33" t="s">
        <v>101</v>
      </c>
      <c r="C42" s="8" t="s">
        <v>148</v>
      </c>
      <c r="D42" s="34" t="s">
        <v>39</v>
      </c>
      <c r="E42" s="46" t="s">
        <v>149</v>
      </c>
      <c r="F42" s="34" t="s">
        <v>47</v>
      </c>
      <c r="G42" s="34" t="s">
        <v>25</v>
      </c>
      <c r="H42" s="34" t="s">
        <v>24</v>
      </c>
      <c r="I42" s="34" t="s">
        <v>25</v>
      </c>
      <c r="J42" s="34" t="s">
        <v>24</v>
      </c>
      <c r="K42" s="34" t="s">
        <v>24</v>
      </c>
      <c r="L42" s="34" t="s">
        <v>24</v>
      </c>
      <c r="M42" s="34" t="s">
        <v>24</v>
      </c>
      <c r="N42" s="34" t="s">
        <v>24</v>
      </c>
      <c r="O42" s="34" t="s">
        <v>24</v>
      </c>
      <c r="P42" s="34"/>
      <c r="Q42" s="34"/>
      <c r="R42" s="34"/>
      <c r="S42" s="34" t="s">
        <v>150</v>
      </c>
    </row>
    <row r="43" spans="1:19" ht="117" x14ac:dyDescent="0.35">
      <c r="A43" s="33">
        <v>43</v>
      </c>
      <c r="B43" s="33" t="s">
        <v>101</v>
      </c>
      <c r="C43" s="46" t="s">
        <v>151</v>
      </c>
      <c r="D43" s="34" t="s">
        <v>39</v>
      </c>
      <c r="E43" s="46" t="s">
        <v>152</v>
      </c>
      <c r="F43" s="34" t="s">
        <v>47</v>
      </c>
      <c r="G43" s="34" t="s">
        <v>25</v>
      </c>
      <c r="H43" s="34" t="s">
        <v>24</v>
      </c>
      <c r="I43" s="34" t="s">
        <v>25</v>
      </c>
      <c r="J43" s="34" t="s">
        <v>24</v>
      </c>
      <c r="K43" s="34" t="s">
        <v>24</v>
      </c>
      <c r="L43" s="34" t="s">
        <v>24</v>
      </c>
      <c r="M43" s="34" t="s">
        <v>24</v>
      </c>
      <c r="N43" s="34" t="s">
        <v>24</v>
      </c>
      <c r="O43" s="34" t="s">
        <v>24</v>
      </c>
      <c r="P43" s="34"/>
      <c r="Q43" s="34"/>
      <c r="R43" s="34"/>
      <c r="S43" s="34" t="s">
        <v>153</v>
      </c>
    </row>
    <row r="44" spans="1:19" ht="130" x14ac:dyDescent="0.35">
      <c r="A44" s="33">
        <v>44</v>
      </c>
      <c r="B44" s="33" t="s">
        <v>101</v>
      </c>
      <c r="C44" s="46" t="s">
        <v>154</v>
      </c>
      <c r="D44" s="34" t="s">
        <v>39</v>
      </c>
      <c r="E44" s="46" t="s">
        <v>155</v>
      </c>
      <c r="F44" s="34" t="s">
        <v>47</v>
      </c>
      <c r="G44" s="34" t="s">
        <v>25</v>
      </c>
      <c r="H44" s="34" t="s">
        <v>24</v>
      </c>
      <c r="I44" s="34" t="s">
        <v>25</v>
      </c>
      <c r="J44" s="34" t="s">
        <v>24</v>
      </c>
      <c r="K44" s="34" t="s">
        <v>24</v>
      </c>
      <c r="L44" s="34" t="s">
        <v>24</v>
      </c>
      <c r="M44" s="34" t="s">
        <v>24</v>
      </c>
      <c r="N44" s="34" t="s">
        <v>24</v>
      </c>
      <c r="O44" s="34" t="s">
        <v>24</v>
      </c>
      <c r="P44" s="34"/>
      <c r="Q44" s="34"/>
      <c r="R44" s="34"/>
      <c r="S44" s="34" t="s">
        <v>156</v>
      </c>
    </row>
    <row r="45" spans="1:19" ht="130" x14ac:dyDescent="0.35">
      <c r="A45" s="33">
        <v>45</v>
      </c>
      <c r="B45" s="33" t="s">
        <v>101</v>
      </c>
      <c r="C45" s="46" t="s">
        <v>157</v>
      </c>
      <c r="D45" s="34" t="s">
        <v>39</v>
      </c>
      <c r="E45" s="34" t="s">
        <v>158</v>
      </c>
      <c r="F45" s="34" t="s">
        <v>47</v>
      </c>
      <c r="G45" s="34" t="s">
        <v>25</v>
      </c>
      <c r="H45" s="34" t="s">
        <v>24</v>
      </c>
      <c r="I45" s="34" t="s">
        <v>25</v>
      </c>
      <c r="J45" s="34" t="s">
        <v>24</v>
      </c>
      <c r="K45" s="34" t="s">
        <v>24</v>
      </c>
      <c r="L45" s="34" t="s">
        <v>24</v>
      </c>
      <c r="M45" s="34" t="s">
        <v>24</v>
      </c>
      <c r="N45" s="34" t="s">
        <v>24</v>
      </c>
      <c r="O45" s="34" t="s">
        <v>24</v>
      </c>
      <c r="P45" s="34"/>
      <c r="Q45" s="34"/>
      <c r="R45" s="34"/>
      <c r="S45" s="34" t="s">
        <v>159</v>
      </c>
    </row>
    <row r="46" spans="1:19" ht="130" x14ac:dyDescent="0.35">
      <c r="A46" s="33">
        <v>46</v>
      </c>
      <c r="B46" s="33" t="s">
        <v>101</v>
      </c>
      <c r="C46" s="34" t="s">
        <v>160</v>
      </c>
      <c r="D46" s="34" t="s">
        <v>39</v>
      </c>
      <c r="E46" s="34" t="s">
        <v>161</v>
      </c>
      <c r="F46" s="34" t="s">
        <v>47</v>
      </c>
      <c r="G46" s="34" t="s">
        <v>25</v>
      </c>
      <c r="H46" s="34" t="s">
        <v>24</v>
      </c>
      <c r="I46" s="34" t="s">
        <v>25</v>
      </c>
      <c r="J46" s="34" t="s">
        <v>24</v>
      </c>
      <c r="K46" s="34" t="s">
        <v>24</v>
      </c>
      <c r="L46" s="34" t="s">
        <v>24</v>
      </c>
      <c r="M46" s="34" t="s">
        <v>24</v>
      </c>
      <c r="N46" s="34" t="s">
        <v>24</v>
      </c>
      <c r="O46" s="34" t="s">
        <v>24</v>
      </c>
      <c r="P46" s="34"/>
      <c r="Q46" s="34"/>
      <c r="R46" s="34"/>
      <c r="S46" s="34" t="s">
        <v>162</v>
      </c>
    </row>
    <row r="47" spans="1:19" ht="117" x14ac:dyDescent="0.35">
      <c r="A47" s="33">
        <v>47</v>
      </c>
      <c r="B47" s="33" t="s">
        <v>101</v>
      </c>
      <c r="C47" s="8" t="s">
        <v>163</v>
      </c>
      <c r="D47" s="34" t="s">
        <v>39</v>
      </c>
      <c r="E47" s="34" t="s">
        <v>164</v>
      </c>
      <c r="F47" s="34" t="s">
        <v>47</v>
      </c>
      <c r="G47" s="34" t="s">
        <v>25</v>
      </c>
      <c r="H47" s="34" t="s">
        <v>24</v>
      </c>
      <c r="I47" s="34" t="s">
        <v>25</v>
      </c>
      <c r="J47" s="34" t="s">
        <v>24</v>
      </c>
      <c r="K47" s="34" t="s">
        <v>24</v>
      </c>
      <c r="L47" s="34" t="s">
        <v>24</v>
      </c>
      <c r="M47" s="34" t="s">
        <v>24</v>
      </c>
      <c r="N47" s="34" t="s">
        <v>24</v>
      </c>
      <c r="O47" s="34" t="s">
        <v>24</v>
      </c>
      <c r="P47" s="34"/>
      <c r="Q47" s="34"/>
      <c r="R47" s="34"/>
      <c r="S47" s="34" t="s">
        <v>165</v>
      </c>
    </row>
    <row r="48" spans="1:19" ht="130" x14ac:dyDescent="0.35">
      <c r="A48" s="33">
        <v>48</v>
      </c>
      <c r="B48" s="33" t="s">
        <v>101</v>
      </c>
      <c r="C48" s="46" t="s">
        <v>166</v>
      </c>
      <c r="D48" s="34" t="s">
        <v>39</v>
      </c>
      <c r="E48" s="34" t="s">
        <v>167</v>
      </c>
      <c r="F48" s="34" t="s">
        <v>47</v>
      </c>
      <c r="G48" s="34" t="s">
        <v>25</v>
      </c>
      <c r="H48" s="34" t="s">
        <v>24</v>
      </c>
      <c r="I48" s="34" t="s">
        <v>25</v>
      </c>
      <c r="J48" s="34" t="s">
        <v>24</v>
      </c>
      <c r="K48" s="34" t="s">
        <v>24</v>
      </c>
      <c r="L48" s="34" t="s">
        <v>24</v>
      </c>
      <c r="M48" s="34" t="s">
        <v>24</v>
      </c>
      <c r="N48" s="34" t="s">
        <v>24</v>
      </c>
      <c r="O48" s="34" t="s">
        <v>24</v>
      </c>
      <c r="P48" s="34"/>
      <c r="Q48" s="34"/>
      <c r="R48" s="34"/>
      <c r="S48" s="34" t="s">
        <v>168</v>
      </c>
    </row>
    <row r="49" spans="1:19" ht="117" x14ac:dyDescent="0.35">
      <c r="A49" s="33">
        <v>49</v>
      </c>
      <c r="B49" s="33" t="s">
        <v>101</v>
      </c>
      <c r="C49" s="46" t="s">
        <v>169</v>
      </c>
      <c r="D49" s="34" t="s">
        <v>39</v>
      </c>
      <c r="E49" s="34" t="s">
        <v>170</v>
      </c>
      <c r="F49" s="34" t="s">
        <v>47</v>
      </c>
      <c r="G49" s="34" t="s">
        <v>25</v>
      </c>
      <c r="H49" s="34" t="s">
        <v>24</v>
      </c>
      <c r="I49" s="34" t="s">
        <v>25</v>
      </c>
      <c r="J49" s="34" t="s">
        <v>24</v>
      </c>
      <c r="K49" s="34" t="s">
        <v>24</v>
      </c>
      <c r="L49" s="34" t="s">
        <v>24</v>
      </c>
      <c r="M49" s="34" t="s">
        <v>24</v>
      </c>
      <c r="N49" s="34" t="s">
        <v>24</v>
      </c>
      <c r="O49" s="34" t="s">
        <v>24</v>
      </c>
      <c r="P49" s="34"/>
      <c r="Q49" s="34"/>
      <c r="R49" s="34"/>
      <c r="S49" s="34" t="s">
        <v>171</v>
      </c>
    </row>
    <row r="50" spans="1:19" ht="117" x14ac:dyDescent="0.35">
      <c r="A50" s="33">
        <v>50</v>
      </c>
      <c r="B50" s="33" t="s">
        <v>101</v>
      </c>
      <c r="C50" s="46" t="s">
        <v>172</v>
      </c>
      <c r="D50" s="34" t="s">
        <v>39</v>
      </c>
      <c r="E50" s="34" t="s">
        <v>173</v>
      </c>
      <c r="F50" s="34" t="s">
        <v>47</v>
      </c>
      <c r="G50" s="34" t="s">
        <v>25</v>
      </c>
      <c r="H50" s="34" t="s">
        <v>24</v>
      </c>
      <c r="I50" s="34" t="s">
        <v>25</v>
      </c>
      <c r="J50" s="34" t="s">
        <v>24</v>
      </c>
      <c r="K50" s="34" t="s">
        <v>24</v>
      </c>
      <c r="L50" s="34" t="s">
        <v>24</v>
      </c>
      <c r="M50" s="34" t="s">
        <v>24</v>
      </c>
      <c r="N50" s="34" t="s">
        <v>24</v>
      </c>
      <c r="O50" s="34" t="s">
        <v>24</v>
      </c>
      <c r="P50" s="34"/>
      <c r="Q50" s="34"/>
      <c r="R50" s="34"/>
      <c r="S50" s="34" t="s">
        <v>174</v>
      </c>
    </row>
    <row r="51" spans="1:19" ht="143" x14ac:dyDescent="0.35">
      <c r="A51" s="33">
        <v>51</v>
      </c>
      <c r="B51" s="33" t="s">
        <v>101</v>
      </c>
      <c r="C51" s="8" t="s">
        <v>175</v>
      </c>
      <c r="D51" s="34" t="s">
        <v>39</v>
      </c>
      <c r="E51" s="34" t="s">
        <v>176</v>
      </c>
      <c r="F51" s="34" t="s">
        <v>47</v>
      </c>
      <c r="G51" s="34" t="s">
        <v>25</v>
      </c>
      <c r="H51" s="34" t="s">
        <v>24</v>
      </c>
      <c r="I51" s="34" t="s">
        <v>25</v>
      </c>
      <c r="J51" s="34" t="s">
        <v>24</v>
      </c>
      <c r="K51" s="34" t="s">
        <v>24</v>
      </c>
      <c r="L51" s="34" t="s">
        <v>24</v>
      </c>
      <c r="M51" s="34" t="s">
        <v>24</v>
      </c>
      <c r="N51" s="34" t="s">
        <v>24</v>
      </c>
      <c r="O51" s="34" t="s">
        <v>24</v>
      </c>
      <c r="P51" s="34"/>
      <c r="Q51" s="34"/>
      <c r="R51" s="34"/>
      <c r="S51" s="34" t="s">
        <v>177</v>
      </c>
    </row>
    <row r="52" spans="1:19" ht="130" x14ac:dyDescent="0.35">
      <c r="A52" s="33">
        <v>52</v>
      </c>
      <c r="B52" s="33" t="s">
        <v>101</v>
      </c>
      <c r="C52" s="8" t="s">
        <v>178</v>
      </c>
      <c r="D52" s="34" t="s">
        <v>39</v>
      </c>
      <c r="E52" s="34" t="s">
        <v>179</v>
      </c>
      <c r="F52" s="34" t="s">
        <v>8</v>
      </c>
      <c r="G52" s="34" t="s">
        <v>24</v>
      </c>
      <c r="H52" s="34" t="s">
        <v>24</v>
      </c>
      <c r="I52" s="34" t="s">
        <v>25</v>
      </c>
      <c r="J52" s="34" t="s">
        <v>24</v>
      </c>
      <c r="K52" s="34" t="s">
        <v>24</v>
      </c>
      <c r="L52" s="34" t="s">
        <v>24</v>
      </c>
      <c r="M52" s="34" t="s">
        <v>24</v>
      </c>
      <c r="N52" s="34" t="s">
        <v>24</v>
      </c>
      <c r="O52" s="34" t="s">
        <v>24</v>
      </c>
      <c r="P52" s="34"/>
      <c r="Q52" s="34"/>
      <c r="R52" s="34"/>
      <c r="S52" s="34" t="s">
        <v>180</v>
      </c>
    </row>
    <row r="53" spans="1:19" ht="234" x14ac:dyDescent="0.35">
      <c r="A53" s="33"/>
      <c r="B53" s="33" t="s">
        <v>101</v>
      </c>
      <c r="C53" s="34" t="s">
        <v>181</v>
      </c>
      <c r="D53" s="34" t="s">
        <v>45</v>
      </c>
      <c r="E53" s="47" t="s">
        <v>182</v>
      </c>
      <c r="F53" s="34" t="s">
        <v>8</v>
      </c>
      <c r="G53" s="34" t="s">
        <v>24</v>
      </c>
      <c r="H53" s="34" t="s">
        <v>24</v>
      </c>
      <c r="I53" s="34" t="s">
        <v>25</v>
      </c>
      <c r="J53" s="34" t="s">
        <v>24</v>
      </c>
      <c r="K53" s="34" t="s">
        <v>24</v>
      </c>
      <c r="L53" s="34" t="s">
        <v>24</v>
      </c>
      <c r="M53" s="34" t="s">
        <v>24</v>
      </c>
      <c r="N53" s="34" t="s">
        <v>24</v>
      </c>
      <c r="O53" s="34" t="s">
        <v>24</v>
      </c>
      <c r="P53" s="34"/>
      <c r="Q53" s="34"/>
      <c r="R53" s="34"/>
      <c r="S53" s="34" t="s">
        <v>183</v>
      </c>
    </row>
    <row r="54" spans="1:19" ht="169" x14ac:dyDescent="0.35">
      <c r="A54" s="33">
        <v>53</v>
      </c>
      <c r="B54" s="33" t="s">
        <v>101</v>
      </c>
      <c r="C54" s="34" t="s">
        <v>184</v>
      </c>
      <c r="D54" s="33" t="s">
        <v>21</v>
      </c>
      <c r="E54" s="33" t="s">
        <v>185</v>
      </c>
      <c r="F54" s="34" t="s">
        <v>6</v>
      </c>
      <c r="G54" s="34" t="s">
        <v>25</v>
      </c>
      <c r="H54" s="34" t="s">
        <v>24</v>
      </c>
      <c r="I54" s="34" t="s">
        <v>24</v>
      </c>
      <c r="J54" s="34" t="s">
        <v>24</v>
      </c>
      <c r="K54" s="34" t="s">
        <v>24</v>
      </c>
      <c r="L54" s="34" t="s">
        <v>24</v>
      </c>
      <c r="M54" s="34" t="s">
        <v>24</v>
      </c>
      <c r="N54" s="34" t="s">
        <v>24</v>
      </c>
      <c r="O54" s="34" t="s">
        <v>24</v>
      </c>
      <c r="P54" s="33"/>
      <c r="Q54" s="33"/>
      <c r="R54" s="33"/>
      <c r="S54" s="90" t="s">
        <v>186</v>
      </c>
    </row>
    <row r="55" spans="1:19" ht="26" x14ac:dyDescent="0.35">
      <c r="A55" s="33">
        <v>54</v>
      </c>
      <c r="B55" s="33" t="s">
        <v>101</v>
      </c>
      <c r="C55" s="34" t="s">
        <v>187</v>
      </c>
      <c r="D55" s="33" t="s">
        <v>45</v>
      </c>
      <c r="E55" s="33" t="s">
        <v>69</v>
      </c>
      <c r="F55" s="34" t="s">
        <v>14</v>
      </c>
      <c r="G55" s="33"/>
      <c r="H55" s="33"/>
      <c r="I55" s="33"/>
      <c r="J55" s="33"/>
      <c r="K55" s="33"/>
      <c r="L55" s="33"/>
      <c r="M55" s="33"/>
      <c r="N55" s="33"/>
      <c r="O55" s="33" t="s">
        <v>25</v>
      </c>
      <c r="P55" s="33"/>
      <c r="Q55" s="33"/>
      <c r="R55" s="33"/>
      <c r="S55" s="33" t="s">
        <v>188</v>
      </c>
    </row>
    <row r="56" spans="1:19" ht="117" x14ac:dyDescent="0.35">
      <c r="A56" s="33">
        <v>55</v>
      </c>
      <c r="B56" s="33" t="s">
        <v>101</v>
      </c>
      <c r="C56" s="34" t="s">
        <v>189</v>
      </c>
      <c r="D56" s="33" t="s">
        <v>39</v>
      </c>
      <c r="E56" s="33" t="s">
        <v>190</v>
      </c>
      <c r="F56" s="34" t="s">
        <v>14</v>
      </c>
      <c r="G56" s="33"/>
      <c r="H56" s="33"/>
      <c r="I56" s="33"/>
      <c r="J56" s="33"/>
      <c r="K56" s="33"/>
      <c r="L56" s="33"/>
      <c r="M56" s="33"/>
      <c r="N56" s="33"/>
      <c r="O56" s="33" t="s">
        <v>25</v>
      </c>
      <c r="P56" s="33"/>
      <c r="Q56" s="33"/>
      <c r="R56" s="33"/>
      <c r="S56" s="33" t="s">
        <v>191</v>
      </c>
    </row>
    <row r="57" spans="1:19" ht="39" x14ac:dyDescent="0.35">
      <c r="A57" s="33">
        <v>56</v>
      </c>
      <c r="B57" s="33" t="s">
        <v>101</v>
      </c>
      <c r="C57" s="34" t="s">
        <v>192</v>
      </c>
      <c r="D57" s="33" t="s">
        <v>21</v>
      </c>
      <c r="E57" s="33" t="s">
        <v>193</v>
      </c>
      <c r="F57" s="34" t="s">
        <v>14</v>
      </c>
      <c r="G57" s="33"/>
      <c r="H57" s="33"/>
      <c r="I57" s="33"/>
      <c r="J57" s="33"/>
      <c r="K57" s="33"/>
      <c r="L57" s="33"/>
      <c r="M57" s="33"/>
      <c r="N57" s="33"/>
      <c r="O57" s="33" t="s">
        <v>25</v>
      </c>
      <c r="P57" s="33"/>
      <c r="Q57" s="33"/>
      <c r="R57" s="33"/>
      <c r="S57" s="33" t="s">
        <v>194</v>
      </c>
    </row>
    <row r="58" spans="1:19" ht="39" x14ac:dyDescent="0.35">
      <c r="A58" s="33">
        <v>57</v>
      </c>
      <c r="B58" s="33" t="s">
        <v>101</v>
      </c>
      <c r="C58" s="34" t="s">
        <v>195</v>
      </c>
      <c r="D58" s="33" t="s">
        <v>21</v>
      </c>
      <c r="E58" s="33" t="s">
        <v>196</v>
      </c>
      <c r="F58" s="34" t="s">
        <v>14</v>
      </c>
      <c r="G58" s="33"/>
      <c r="H58" s="33"/>
      <c r="I58" s="33"/>
      <c r="J58" s="33"/>
      <c r="K58" s="33"/>
      <c r="L58" s="33"/>
      <c r="M58" s="33"/>
      <c r="N58" s="33"/>
      <c r="O58" s="33" t="s">
        <v>25</v>
      </c>
      <c r="P58" s="33"/>
      <c r="Q58" s="33"/>
      <c r="R58" s="33"/>
      <c r="S58" s="33" t="s">
        <v>197</v>
      </c>
    </row>
    <row r="59" spans="1:19" ht="234" x14ac:dyDescent="0.35">
      <c r="A59" s="33">
        <v>58</v>
      </c>
      <c r="B59" s="33" t="s">
        <v>101</v>
      </c>
      <c r="C59" s="34" t="s">
        <v>198</v>
      </c>
      <c r="D59" s="33" t="s">
        <v>21</v>
      </c>
      <c r="E59" s="34" t="s">
        <v>199</v>
      </c>
      <c r="F59" s="34" t="s">
        <v>8</v>
      </c>
      <c r="G59" s="33" t="s">
        <v>24</v>
      </c>
      <c r="H59" s="33" t="s">
        <v>24</v>
      </c>
      <c r="I59" s="33" t="s">
        <v>25</v>
      </c>
      <c r="J59" s="33" t="s">
        <v>24</v>
      </c>
      <c r="K59" s="33" t="s">
        <v>24</v>
      </c>
      <c r="L59" s="33" t="s">
        <v>24</v>
      </c>
      <c r="M59" s="33" t="s">
        <v>24</v>
      </c>
      <c r="N59" s="33" t="s">
        <v>24</v>
      </c>
      <c r="O59" s="33" t="s">
        <v>24</v>
      </c>
      <c r="P59" s="33"/>
      <c r="Q59" s="33"/>
      <c r="R59" s="33"/>
      <c r="S59" s="33" t="s">
        <v>200</v>
      </c>
    </row>
    <row r="60" spans="1:19" ht="221" x14ac:dyDescent="0.35">
      <c r="A60" s="33">
        <v>59</v>
      </c>
      <c r="B60" s="34" t="s">
        <v>101</v>
      </c>
      <c r="C60" s="34" t="s">
        <v>201</v>
      </c>
      <c r="D60" s="34" t="s">
        <v>21</v>
      </c>
      <c r="E60" s="34" t="s">
        <v>202</v>
      </c>
      <c r="F60" s="34" t="s">
        <v>47</v>
      </c>
      <c r="G60" s="34" t="s">
        <v>25</v>
      </c>
      <c r="H60" s="34" t="s">
        <v>24</v>
      </c>
      <c r="I60" s="34" t="s">
        <v>25</v>
      </c>
      <c r="J60" s="34" t="s">
        <v>24</v>
      </c>
      <c r="K60" s="34" t="s">
        <v>24</v>
      </c>
      <c r="L60" s="34" t="s">
        <v>24</v>
      </c>
      <c r="M60" s="34" t="s">
        <v>24</v>
      </c>
      <c r="N60" s="34" t="s">
        <v>24</v>
      </c>
      <c r="O60" s="34" t="s">
        <v>24</v>
      </c>
      <c r="P60" s="34" t="s">
        <v>24</v>
      </c>
      <c r="Q60" s="34"/>
      <c r="R60" s="34"/>
      <c r="S60" s="34" t="s">
        <v>203</v>
      </c>
    </row>
    <row r="61" spans="1:19" ht="273" x14ac:dyDescent="0.35">
      <c r="A61" s="33">
        <v>60</v>
      </c>
      <c r="B61" s="34" t="s">
        <v>101</v>
      </c>
      <c r="C61" s="34" t="s">
        <v>204</v>
      </c>
      <c r="D61" s="34" t="s">
        <v>21</v>
      </c>
      <c r="E61" s="34" t="s">
        <v>205</v>
      </c>
      <c r="F61" s="34" t="s">
        <v>47</v>
      </c>
      <c r="G61" s="34" t="s">
        <v>25</v>
      </c>
      <c r="H61" s="34" t="s">
        <v>24</v>
      </c>
      <c r="I61" s="34" t="s">
        <v>25</v>
      </c>
      <c r="J61" s="34" t="s">
        <v>24</v>
      </c>
      <c r="K61" s="34" t="s">
        <v>24</v>
      </c>
      <c r="L61" s="34" t="s">
        <v>24</v>
      </c>
      <c r="M61" s="34" t="s">
        <v>24</v>
      </c>
      <c r="N61" s="34" t="s">
        <v>24</v>
      </c>
      <c r="O61" s="34" t="s">
        <v>24</v>
      </c>
      <c r="P61" s="34" t="s">
        <v>24</v>
      </c>
      <c r="Q61" s="34"/>
      <c r="R61" s="34"/>
      <c r="S61" s="34" t="s">
        <v>206</v>
      </c>
    </row>
    <row r="62" spans="1:19" ht="182" x14ac:dyDescent="0.35">
      <c r="A62" s="33">
        <v>61</v>
      </c>
      <c r="B62" s="34" t="s">
        <v>101</v>
      </c>
      <c r="C62" s="34" t="s">
        <v>207</v>
      </c>
      <c r="D62" s="34" t="s">
        <v>21</v>
      </c>
      <c r="E62" s="34" t="s">
        <v>208</v>
      </c>
      <c r="F62" s="34" t="s">
        <v>47</v>
      </c>
      <c r="G62" s="34" t="s">
        <v>25</v>
      </c>
      <c r="H62" s="34" t="s">
        <v>24</v>
      </c>
      <c r="I62" s="34" t="s">
        <v>25</v>
      </c>
      <c r="J62" s="34" t="s">
        <v>24</v>
      </c>
      <c r="K62" s="34" t="s">
        <v>24</v>
      </c>
      <c r="L62" s="34" t="s">
        <v>24</v>
      </c>
      <c r="M62" s="34" t="s">
        <v>24</v>
      </c>
      <c r="N62" s="34" t="s">
        <v>24</v>
      </c>
      <c r="O62" s="34" t="s">
        <v>24</v>
      </c>
      <c r="P62" s="34" t="s">
        <v>24</v>
      </c>
      <c r="Q62" s="34"/>
      <c r="R62" s="34"/>
      <c r="S62" s="34" t="s">
        <v>209</v>
      </c>
    </row>
    <row r="63" spans="1:19" ht="208" x14ac:dyDescent="0.35">
      <c r="A63" s="33">
        <v>62</v>
      </c>
      <c r="B63" s="34" t="s">
        <v>101</v>
      </c>
      <c r="C63" s="34" t="s">
        <v>210</v>
      </c>
      <c r="D63" s="34" t="s">
        <v>21</v>
      </c>
      <c r="E63" s="34" t="s">
        <v>211</v>
      </c>
      <c r="F63" s="34" t="s">
        <v>47</v>
      </c>
      <c r="G63" s="34" t="s">
        <v>25</v>
      </c>
      <c r="H63" s="34" t="s">
        <v>24</v>
      </c>
      <c r="I63" s="34" t="s">
        <v>25</v>
      </c>
      <c r="J63" s="34" t="s">
        <v>24</v>
      </c>
      <c r="K63" s="34" t="s">
        <v>24</v>
      </c>
      <c r="L63" s="34" t="s">
        <v>24</v>
      </c>
      <c r="M63" s="34" t="s">
        <v>24</v>
      </c>
      <c r="N63" s="34" t="s">
        <v>24</v>
      </c>
      <c r="O63" s="34" t="s">
        <v>24</v>
      </c>
      <c r="P63" s="34" t="s">
        <v>24</v>
      </c>
      <c r="Q63" s="34"/>
      <c r="R63" s="34"/>
      <c r="S63" s="34" t="s">
        <v>212</v>
      </c>
    </row>
    <row r="64" spans="1:19" ht="52" x14ac:dyDescent="0.35">
      <c r="A64" s="33">
        <v>63</v>
      </c>
      <c r="B64" s="34" t="s">
        <v>101</v>
      </c>
      <c r="C64" s="34" t="s">
        <v>213</v>
      </c>
      <c r="D64" s="34" t="s">
        <v>45</v>
      </c>
      <c r="E64" s="34" t="s">
        <v>214</v>
      </c>
      <c r="F64" s="34" t="s">
        <v>8</v>
      </c>
      <c r="G64" s="34"/>
      <c r="H64" s="34"/>
      <c r="I64" s="34" t="s">
        <v>25</v>
      </c>
      <c r="J64" s="34"/>
      <c r="K64" s="34"/>
      <c r="L64" s="34"/>
      <c r="M64" s="34"/>
      <c r="N64" s="34"/>
      <c r="O64" s="34"/>
      <c r="P64" s="34"/>
      <c r="Q64" s="34"/>
      <c r="R64" s="34"/>
      <c r="S64" s="34" t="s">
        <v>215</v>
      </c>
    </row>
    <row r="65" spans="1:19" ht="143" x14ac:dyDescent="0.35">
      <c r="A65" s="33">
        <v>64</v>
      </c>
      <c r="B65" s="33" t="s">
        <v>216</v>
      </c>
      <c r="C65" s="34" t="s">
        <v>217</v>
      </c>
      <c r="D65" s="34" t="s">
        <v>21</v>
      </c>
      <c r="E65" s="34" t="s">
        <v>218</v>
      </c>
      <c r="F65" s="34" t="s">
        <v>219</v>
      </c>
      <c r="G65" s="33" t="s">
        <v>25</v>
      </c>
      <c r="H65" s="33" t="s">
        <v>24</v>
      </c>
      <c r="I65" s="33" t="s">
        <v>25</v>
      </c>
      <c r="J65" s="33" t="s">
        <v>24</v>
      </c>
      <c r="K65" s="33" t="s">
        <v>24</v>
      </c>
      <c r="L65" s="33" t="s">
        <v>24</v>
      </c>
      <c r="M65" s="33" t="s">
        <v>24</v>
      </c>
      <c r="N65" s="33" t="s">
        <v>24</v>
      </c>
      <c r="O65" s="33" t="s">
        <v>24</v>
      </c>
      <c r="P65" s="33" t="s">
        <v>25</v>
      </c>
      <c r="Q65" s="33"/>
      <c r="R65" s="33"/>
      <c r="S65" s="33" t="s">
        <v>220</v>
      </c>
    </row>
    <row r="66" spans="1:19" ht="91" x14ac:dyDescent="0.35">
      <c r="A66" s="33">
        <v>65</v>
      </c>
      <c r="B66" s="33" t="s">
        <v>216</v>
      </c>
      <c r="C66" s="34" t="s">
        <v>221</v>
      </c>
      <c r="D66" s="34" t="s">
        <v>21</v>
      </c>
      <c r="E66" s="34" t="s">
        <v>222</v>
      </c>
      <c r="F66" s="34" t="s">
        <v>223</v>
      </c>
      <c r="G66" s="33" t="s">
        <v>25</v>
      </c>
      <c r="H66" s="33" t="s">
        <v>24</v>
      </c>
      <c r="I66" s="33" t="s">
        <v>24</v>
      </c>
      <c r="J66" s="33" t="s">
        <v>24</v>
      </c>
      <c r="K66" s="33" t="s">
        <v>24</v>
      </c>
      <c r="L66" s="33" t="s">
        <v>24</v>
      </c>
      <c r="M66" s="33" t="s">
        <v>24</v>
      </c>
      <c r="N66" s="33" t="s">
        <v>24</v>
      </c>
      <c r="O66" s="33" t="s">
        <v>24</v>
      </c>
      <c r="P66" s="33" t="s">
        <v>25</v>
      </c>
      <c r="Q66" s="33"/>
      <c r="R66" s="33"/>
      <c r="S66" s="33" t="s">
        <v>224</v>
      </c>
    </row>
    <row r="67" spans="1:19" ht="52" x14ac:dyDescent="0.35">
      <c r="A67" s="33">
        <v>66</v>
      </c>
      <c r="B67" s="33" t="s">
        <v>216</v>
      </c>
      <c r="C67" s="34" t="s">
        <v>225</v>
      </c>
      <c r="D67" s="34" t="s">
        <v>21</v>
      </c>
      <c r="E67" s="33" t="s">
        <v>226</v>
      </c>
      <c r="F67" s="34" t="s">
        <v>219</v>
      </c>
      <c r="G67" s="33" t="s">
        <v>25</v>
      </c>
      <c r="H67" s="33" t="s">
        <v>24</v>
      </c>
      <c r="I67" s="33" t="s">
        <v>25</v>
      </c>
      <c r="J67" s="33" t="s">
        <v>24</v>
      </c>
      <c r="K67" s="33" t="s">
        <v>24</v>
      </c>
      <c r="L67" s="33" t="s">
        <v>24</v>
      </c>
      <c r="M67" s="33" t="s">
        <v>24</v>
      </c>
      <c r="N67" s="33" t="s">
        <v>24</v>
      </c>
      <c r="O67" s="33" t="s">
        <v>24</v>
      </c>
      <c r="P67" s="33" t="s">
        <v>25</v>
      </c>
      <c r="Q67" s="33"/>
      <c r="R67" s="33"/>
      <c r="S67" s="33" t="s">
        <v>227</v>
      </c>
    </row>
    <row r="68" spans="1:19" ht="169" x14ac:dyDescent="0.35">
      <c r="A68" s="33">
        <v>67</v>
      </c>
      <c r="B68" s="34" t="s">
        <v>228</v>
      </c>
      <c r="C68" s="34" t="s">
        <v>229</v>
      </c>
      <c r="D68" s="34" t="s">
        <v>21</v>
      </c>
      <c r="E68" s="34" t="s">
        <v>230</v>
      </c>
      <c r="F68" s="51" t="s">
        <v>84</v>
      </c>
      <c r="G68" s="34"/>
      <c r="H68" s="34"/>
      <c r="I68" s="34"/>
      <c r="J68" s="34"/>
      <c r="K68" s="34"/>
      <c r="L68" s="34"/>
      <c r="M68" s="34"/>
      <c r="N68" s="34"/>
      <c r="O68" s="34"/>
      <c r="P68" s="34"/>
      <c r="Q68" s="34"/>
      <c r="R68" s="34"/>
      <c r="S68" s="34" t="s">
        <v>231</v>
      </c>
    </row>
    <row r="69" spans="1:19" ht="26" x14ac:dyDescent="0.35">
      <c r="A69" s="33">
        <v>68</v>
      </c>
      <c r="B69" s="34" t="s">
        <v>228</v>
      </c>
      <c r="C69" s="34" t="s">
        <v>232</v>
      </c>
      <c r="D69" s="34" t="s">
        <v>21</v>
      </c>
      <c r="E69" s="34" t="s">
        <v>233</v>
      </c>
      <c r="F69" s="34" t="s">
        <v>234</v>
      </c>
      <c r="G69" s="34" t="s">
        <v>25</v>
      </c>
      <c r="H69" s="34" t="s">
        <v>24</v>
      </c>
      <c r="I69" s="34" t="s">
        <v>25</v>
      </c>
      <c r="J69" s="34" t="s">
        <v>24</v>
      </c>
      <c r="K69" s="34" t="s">
        <v>24</v>
      </c>
      <c r="L69" s="34" t="s">
        <v>24</v>
      </c>
      <c r="M69" s="34" t="s">
        <v>24</v>
      </c>
      <c r="N69" s="34" t="s">
        <v>24</v>
      </c>
      <c r="O69" s="34" t="s">
        <v>24</v>
      </c>
      <c r="P69" s="34" t="s">
        <v>235</v>
      </c>
      <c r="Q69" s="34"/>
      <c r="R69" s="34"/>
      <c r="S69" s="34" t="s">
        <v>236</v>
      </c>
    </row>
    <row r="70" spans="1:19" ht="52" x14ac:dyDescent="0.35">
      <c r="A70" s="33">
        <v>69</v>
      </c>
      <c r="B70" s="34" t="s">
        <v>228</v>
      </c>
      <c r="C70" s="34" t="s">
        <v>237</v>
      </c>
      <c r="D70" s="34" t="s">
        <v>21</v>
      </c>
      <c r="E70" s="34" t="s">
        <v>238</v>
      </c>
      <c r="F70" s="34" t="s">
        <v>234</v>
      </c>
      <c r="G70" s="34" t="s">
        <v>25</v>
      </c>
      <c r="H70" s="34" t="s">
        <v>24</v>
      </c>
      <c r="I70" s="34" t="s">
        <v>25</v>
      </c>
      <c r="J70" s="34" t="s">
        <v>24</v>
      </c>
      <c r="K70" s="34" t="s">
        <v>24</v>
      </c>
      <c r="L70" s="34" t="s">
        <v>24</v>
      </c>
      <c r="M70" s="34" t="s">
        <v>24</v>
      </c>
      <c r="N70" s="34" t="s">
        <v>24</v>
      </c>
      <c r="O70" s="34" t="s">
        <v>24</v>
      </c>
      <c r="P70" s="34" t="s">
        <v>235</v>
      </c>
      <c r="Q70" s="34"/>
      <c r="R70" s="34"/>
      <c r="S70" s="34" t="s">
        <v>239</v>
      </c>
    </row>
    <row r="71" spans="1:19" ht="39" x14ac:dyDescent="0.35">
      <c r="A71" s="33">
        <v>70</v>
      </c>
      <c r="B71" s="34" t="s">
        <v>228</v>
      </c>
      <c r="C71" s="34" t="s">
        <v>240</v>
      </c>
      <c r="D71" s="34" t="s">
        <v>21</v>
      </c>
      <c r="E71" s="34" t="s">
        <v>241</v>
      </c>
      <c r="F71" s="34" t="s">
        <v>234</v>
      </c>
      <c r="G71" s="34" t="s">
        <v>25</v>
      </c>
      <c r="H71" s="34" t="s">
        <v>24</v>
      </c>
      <c r="I71" s="34" t="s">
        <v>25</v>
      </c>
      <c r="J71" s="34" t="s">
        <v>24</v>
      </c>
      <c r="K71" s="34" t="s">
        <v>24</v>
      </c>
      <c r="L71" s="34" t="s">
        <v>24</v>
      </c>
      <c r="M71" s="34" t="s">
        <v>24</v>
      </c>
      <c r="N71" s="34" t="s">
        <v>24</v>
      </c>
      <c r="O71" s="34" t="s">
        <v>24</v>
      </c>
      <c r="P71" s="34" t="s">
        <v>235</v>
      </c>
      <c r="Q71" s="34"/>
      <c r="R71" s="34"/>
      <c r="S71" s="34" t="s">
        <v>242</v>
      </c>
    </row>
    <row r="72" spans="1:19" ht="52" x14ac:dyDescent="0.35">
      <c r="A72" s="33">
        <v>71</v>
      </c>
      <c r="B72" s="34" t="s">
        <v>243</v>
      </c>
      <c r="C72" s="34" t="s">
        <v>244</v>
      </c>
      <c r="D72" s="34" t="s">
        <v>21</v>
      </c>
      <c r="E72" s="34" t="s">
        <v>245</v>
      </c>
      <c r="F72" s="34" t="s">
        <v>234</v>
      </c>
      <c r="G72" s="34" t="s">
        <v>25</v>
      </c>
      <c r="H72" s="34" t="s">
        <v>24</v>
      </c>
      <c r="I72" s="34" t="s">
        <v>25</v>
      </c>
      <c r="J72" s="34" t="s">
        <v>24</v>
      </c>
      <c r="K72" s="34" t="s">
        <v>24</v>
      </c>
      <c r="L72" s="34" t="s">
        <v>24</v>
      </c>
      <c r="M72" s="34" t="s">
        <v>24</v>
      </c>
      <c r="N72" s="34" t="s">
        <v>24</v>
      </c>
      <c r="O72" s="34" t="s">
        <v>24</v>
      </c>
      <c r="P72" s="34" t="s">
        <v>235</v>
      </c>
      <c r="Q72" s="34"/>
      <c r="R72" s="34"/>
      <c r="S72" s="34" t="s">
        <v>246</v>
      </c>
    </row>
    <row r="73" spans="1:19" ht="39" x14ac:dyDescent="0.35">
      <c r="A73" s="33">
        <v>72</v>
      </c>
      <c r="B73" s="34" t="s">
        <v>243</v>
      </c>
      <c r="C73" s="8" t="s">
        <v>247</v>
      </c>
      <c r="D73" s="34" t="s">
        <v>21</v>
      </c>
      <c r="E73" s="34" t="s">
        <v>248</v>
      </c>
      <c r="F73" s="34" t="s">
        <v>234</v>
      </c>
      <c r="G73" s="34" t="s">
        <v>25</v>
      </c>
      <c r="H73" s="34" t="s">
        <v>24</v>
      </c>
      <c r="I73" s="34" t="s">
        <v>25</v>
      </c>
      <c r="J73" s="34" t="s">
        <v>24</v>
      </c>
      <c r="K73" s="34" t="s">
        <v>24</v>
      </c>
      <c r="L73" s="34" t="s">
        <v>24</v>
      </c>
      <c r="M73" s="34" t="s">
        <v>24</v>
      </c>
      <c r="N73" s="34" t="s">
        <v>24</v>
      </c>
      <c r="O73" s="34" t="s">
        <v>24</v>
      </c>
      <c r="P73" s="34" t="s">
        <v>235</v>
      </c>
      <c r="Q73" s="34"/>
      <c r="R73" s="34"/>
      <c r="S73" s="34" t="s">
        <v>249</v>
      </c>
    </row>
    <row r="74" spans="1:19" ht="78" x14ac:dyDescent="0.35">
      <c r="A74" s="33">
        <v>73</v>
      </c>
      <c r="B74" s="34" t="s">
        <v>250</v>
      </c>
      <c r="C74" s="34" t="s">
        <v>251</v>
      </c>
      <c r="D74" s="34" t="s">
        <v>21</v>
      </c>
      <c r="E74" s="34" t="s">
        <v>252</v>
      </c>
      <c r="F74" s="34" t="s">
        <v>234</v>
      </c>
      <c r="G74" s="34" t="s">
        <v>25</v>
      </c>
      <c r="H74" s="34" t="s">
        <v>24</v>
      </c>
      <c r="I74" s="34" t="s">
        <v>25</v>
      </c>
      <c r="J74" s="34" t="s">
        <v>24</v>
      </c>
      <c r="K74" s="34" t="s">
        <v>24</v>
      </c>
      <c r="L74" s="34" t="s">
        <v>24</v>
      </c>
      <c r="M74" s="34" t="s">
        <v>24</v>
      </c>
      <c r="N74" s="34" t="s">
        <v>24</v>
      </c>
      <c r="O74" s="34" t="s">
        <v>24</v>
      </c>
      <c r="P74" s="34" t="s">
        <v>235</v>
      </c>
      <c r="Q74" s="34"/>
      <c r="R74" s="34"/>
      <c r="S74" s="34" t="s">
        <v>253</v>
      </c>
    </row>
    <row r="75" spans="1:19" ht="91" x14ac:dyDescent="0.35">
      <c r="A75" s="33">
        <v>74</v>
      </c>
      <c r="B75" s="34" t="s">
        <v>250</v>
      </c>
      <c r="C75" s="34" t="s">
        <v>254</v>
      </c>
      <c r="D75" s="34" t="s">
        <v>21</v>
      </c>
      <c r="E75" s="34" t="s">
        <v>255</v>
      </c>
      <c r="F75" s="34" t="s">
        <v>234</v>
      </c>
      <c r="G75" s="34" t="s">
        <v>25</v>
      </c>
      <c r="H75" s="34" t="s">
        <v>24</v>
      </c>
      <c r="I75" s="34" t="s">
        <v>25</v>
      </c>
      <c r="J75" s="34" t="s">
        <v>24</v>
      </c>
      <c r="K75" s="34" t="s">
        <v>24</v>
      </c>
      <c r="L75" s="34" t="s">
        <v>24</v>
      </c>
      <c r="M75" s="34" t="s">
        <v>24</v>
      </c>
      <c r="N75" s="34" t="s">
        <v>24</v>
      </c>
      <c r="O75" s="34" t="s">
        <v>24</v>
      </c>
      <c r="P75" s="34" t="s">
        <v>235</v>
      </c>
      <c r="Q75" s="34"/>
      <c r="R75" s="34"/>
      <c r="S75" s="34" t="s">
        <v>256</v>
      </c>
    </row>
    <row r="76" spans="1:19" s="36" customFormat="1" ht="65" x14ac:dyDescent="0.35">
      <c r="A76" s="33"/>
      <c r="B76" s="34" t="s">
        <v>257</v>
      </c>
      <c r="C76" s="34" t="s">
        <v>258</v>
      </c>
      <c r="D76" s="34" t="s">
        <v>45</v>
      </c>
      <c r="E76" s="34" t="s">
        <v>259</v>
      </c>
      <c r="F76" s="34" t="s">
        <v>260</v>
      </c>
      <c r="G76" s="34" t="s">
        <v>25</v>
      </c>
      <c r="H76" s="34" t="s">
        <v>25</v>
      </c>
      <c r="I76" s="34" t="s">
        <v>24</v>
      </c>
      <c r="J76" s="34" t="s">
        <v>24</v>
      </c>
      <c r="K76" s="34" t="s">
        <v>24</v>
      </c>
      <c r="L76" s="34" t="s">
        <v>24</v>
      </c>
      <c r="M76" s="34" t="s">
        <v>24</v>
      </c>
      <c r="N76" s="34" t="s">
        <v>24</v>
      </c>
      <c r="O76" s="34" t="s">
        <v>24</v>
      </c>
      <c r="P76" s="34"/>
      <c r="Q76" s="34"/>
      <c r="R76" s="34"/>
      <c r="S76" s="34" t="s">
        <v>261</v>
      </c>
    </row>
    <row r="77" spans="1:19" s="36" customFormat="1" ht="52" x14ac:dyDescent="0.35">
      <c r="A77" s="33"/>
      <c r="B77" s="34" t="s">
        <v>257</v>
      </c>
      <c r="C77" s="34" t="s">
        <v>262</v>
      </c>
      <c r="D77" s="34" t="s">
        <v>45</v>
      </c>
      <c r="E77" s="34" t="s">
        <v>263</v>
      </c>
      <c r="F77" s="34" t="s">
        <v>260</v>
      </c>
      <c r="G77" s="34" t="s">
        <v>25</v>
      </c>
      <c r="H77" s="34" t="s">
        <v>25</v>
      </c>
      <c r="I77" s="34" t="s">
        <v>24</v>
      </c>
      <c r="J77" s="34" t="s">
        <v>24</v>
      </c>
      <c r="K77" s="34" t="s">
        <v>24</v>
      </c>
      <c r="L77" s="34" t="s">
        <v>24</v>
      </c>
      <c r="M77" s="34" t="s">
        <v>24</v>
      </c>
      <c r="N77" s="34" t="s">
        <v>24</v>
      </c>
      <c r="O77" s="34" t="s">
        <v>24</v>
      </c>
      <c r="P77" s="34"/>
      <c r="Q77" s="34"/>
      <c r="R77" s="34"/>
      <c r="S77" s="34" t="s">
        <v>264</v>
      </c>
    </row>
    <row r="78" spans="1:19" s="36" customFormat="1" ht="52" x14ac:dyDescent="0.35">
      <c r="A78" s="33"/>
      <c r="B78" s="34" t="s">
        <v>257</v>
      </c>
      <c r="C78" s="34" t="s">
        <v>265</v>
      </c>
      <c r="D78" s="34" t="s">
        <v>45</v>
      </c>
      <c r="E78" s="34" t="s">
        <v>266</v>
      </c>
      <c r="F78" s="34" t="s">
        <v>260</v>
      </c>
      <c r="G78" s="34" t="s">
        <v>25</v>
      </c>
      <c r="H78" s="34" t="s">
        <v>25</v>
      </c>
      <c r="I78" s="34" t="s">
        <v>24</v>
      </c>
      <c r="J78" s="34" t="s">
        <v>24</v>
      </c>
      <c r="K78" s="34" t="s">
        <v>24</v>
      </c>
      <c r="L78" s="34" t="s">
        <v>24</v>
      </c>
      <c r="M78" s="34" t="s">
        <v>24</v>
      </c>
      <c r="N78" s="34" t="s">
        <v>24</v>
      </c>
      <c r="O78" s="34" t="s">
        <v>24</v>
      </c>
      <c r="P78" s="34"/>
      <c r="Q78" s="34"/>
      <c r="R78" s="34"/>
      <c r="S78" s="34" t="s">
        <v>267</v>
      </c>
    </row>
    <row r="79" spans="1:19" s="36" customFormat="1" ht="52" x14ac:dyDescent="0.35">
      <c r="A79" s="33"/>
      <c r="B79" s="34" t="s">
        <v>257</v>
      </c>
      <c r="C79" s="34" t="s">
        <v>268</v>
      </c>
      <c r="D79" s="34" t="s">
        <v>45</v>
      </c>
      <c r="E79" s="34" t="s">
        <v>269</v>
      </c>
      <c r="F79" s="34" t="s">
        <v>260</v>
      </c>
      <c r="G79" s="34" t="s">
        <v>25</v>
      </c>
      <c r="H79" s="34" t="s">
        <v>25</v>
      </c>
      <c r="I79" s="34" t="s">
        <v>24</v>
      </c>
      <c r="J79" s="34" t="s">
        <v>24</v>
      </c>
      <c r="K79" s="34" t="s">
        <v>24</v>
      </c>
      <c r="L79" s="34" t="s">
        <v>24</v>
      </c>
      <c r="M79" s="34" t="s">
        <v>24</v>
      </c>
      <c r="N79" s="34" t="s">
        <v>24</v>
      </c>
      <c r="O79" s="34" t="s">
        <v>24</v>
      </c>
      <c r="P79" s="34"/>
      <c r="Q79" s="34"/>
      <c r="R79" s="34"/>
      <c r="S79" s="34" t="s">
        <v>270</v>
      </c>
    </row>
    <row r="80" spans="1:19" s="36" customFormat="1" ht="52" x14ac:dyDescent="0.35">
      <c r="A80" s="33"/>
      <c r="B80" s="34" t="s">
        <v>257</v>
      </c>
      <c r="C80" s="34" t="s">
        <v>271</v>
      </c>
      <c r="D80" s="34" t="s">
        <v>39</v>
      </c>
      <c r="E80" s="34" t="s">
        <v>272</v>
      </c>
      <c r="F80" s="34" t="s">
        <v>260</v>
      </c>
      <c r="G80" s="34" t="s">
        <v>25</v>
      </c>
      <c r="H80" s="34" t="s">
        <v>25</v>
      </c>
      <c r="I80" s="34" t="s">
        <v>24</v>
      </c>
      <c r="J80" s="34" t="s">
        <v>24</v>
      </c>
      <c r="K80" s="34" t="s">
        <v>24</v>
      </c>
      <c r="L80" s="34" t="s">
        <v>24</v>
      </c>
      <c r="M80" s="34" t="s">
        <v>24</v>
      </c>
      <c r="N80" s="34" t="s">
        <v>24</v>
      </c>
      <c r="O80" s="34" t="s">
        <v>24</v>
      </c>
      <c r="P80" s="34"/>
      <c r="Q80" s="34"/>
      <c r="R80" s="34"/>
      <c r="S80" s="34" t="s">
        <v>273</v>
      </c>
    </row>
    <row r="81" spans="1:19" s="36" customFormat="1" ht="39" x14ac:dyDescent="0.35">
      <c r="A81" s="33"/>
      <c r="B81" s="34" t="s">
        <v>257</v>
      </c>
      <c r="C81" s="34" t="s">
        <v>274</v>
      </c>
      <c r="D81" s="34" t="s">
        <v>45</v>
      </c>
      <c r="E81" s="34" t="s">
        <v>275</v>
      </c>
      <c r="F81" s="34" t="s">
        <v>260</v>
      </c>
      <c r="G81" s="34" t="s">
        <v>25</v>
      </c>
      <c r="H81" s="34" t="s">
        <v>25</v>
      </c>
      <c r="I81" s="34" t="s">
        <v>24</v>
      </c>
      <c r="J81" s="34" t="s">
        <v>24</v>
      </c>
      <c r="K81" s="34" t="s">
        <v>24</v>
      </c>
      <c r="L81" s="34" t="s">
        <v>24</v>
      </c>
      <c r="M81" s="34" t="s">
        <v>24</v>
      </c>
      <c r="N81" s="34" t="s">
        <v>24</v>
      </c>
      <c r="O81" s="34" t="s">
        <v>24</v>
      </c>
      <c r="P81" s="34"/>
      <c r="Q81" s="34"/>
      <c r="R81" s="34"/>
      <c r="S81" s="49" t="s">
        <v>276</v>
      </c>
    </row>
    <row r="82" spans="1:19" s="36" customFormat="1" ht="65" x14ac:dyDescent="0.35">
      <c r="A82" s="33"/>
      <c r="B82" s="34" t="s">
        <v>257</v>
      </c>
      <c r="C82" s="34" t="s">
        <v>277</v>
      </c>
      <c r="D82" s="34" t="s">
        <v>45</v>
      </c>
      <c r="E82" s="34" t="s">
        <v>278</v>
      </c>
      <c r="F82" s="34" t="s">
        <v>260</v>
      </c>
      <c r="G82" s="34" t="s">
        <v>25</v>
      </c>
      <c r="H82" s="34" t="s">
        <v>25</v>
      </c>
      <c r="I82" s="34" t="s">
        <v>24</v>
      </c>
      <c r="J82" s="34" t="s">
        <v>24</v>
      </c>
      <c r="K82" s="34" t="s">
        <v>24</v>
      </c>
      <c r="L82" s="34" t="s">
        <v>24</v>
      </c>
      <c r="M82" s="34" t="s">
        <v>24</v>
      </c>
      <c r="N82" s="34" t="s">
        <v>24</v>
      </c>
      <c r="O82" s="34" t="s">
        <v>24</v>
      </c>
      <c r="P82" s="34"/>
      <c r="Q82" s="34"/>
      <c r="R82" s="34"/>
      <c r="S82" s="34" t="s">
        <v>279</v>
      </c>
    </row>
    <row r="83" spans="1:19" s="36" customFormat="1" ht="104" x14ac:dyDescent="0.35">
      <c r="A83" s="33"/>
      <c r="B83" s="34" t="s">
        <v>257</v>
      </c>
      <c r="C83" s="34" t="s">
        <v>280</v>
      </c>
      <c r="D83" s="34" t="s">
        <v>45</v>
      </c>
      <c r="E83" s="34" t="s">
        <v>281</v>
      </c>
      <c r="F83" s="34" t="s">
        <v>260</v>
      </c>
      <c r="G83" s="34" t="s">
        <v>25</v>
      </c>
      <c r="H83" s="34" t="s">
        <v>25</v>
      </c>
      <c r="I83" s="34" t="s">
        <v>24</v>
      </c>
      <c r="J83" s="34" t="s">
        <v>24</v>
      </c>
      <c r="K83" s="34" t="s">
        <v>24</v>
      </c>
      <c r="L83" s="34" t="s">
        <v>24</v>
      </c>
      <c r="M83" s="34" t="s">
        <v>24</v>
      </c>
      <c r="N83" s="34" t="s">
        <v>24</v>
      </c>
      <c r="O83" s="34" t="s">
        <v>24</v>
      </c>
      <c r="P83" s="34"/>
      <c r="Q83" s="34"/>
      <c r="R83" s="34"/>
      <c r="S83" s="34" t="s">
        <v>282</v>
      </c>
    </row>
    <row r="84" spans="1:19" s="36" customFormat="1" ht="39" x14ac:dyDescent="0.35">
      <c r="A84" s="33"/>
      <c r="B84" s="34" t="s">
        <v>257</v>
      </c>
      <c r="C84" s="34" t="s">
        <v>283</v>
      </c>
      <c r="D84" s="34" t="s">
        <v>45</v>
      </c>
      <c r="E84" s="34" t="s">
        <v>284</v>
      </c>
      <c r="F84" s="34" t="s">
        <v>260</v>
      </c>
      <c r="G84" s="34" t="s">
        <v>25</v>
      </c>
      <c r="H84" s="34" t="s">
        <v>25</v>
      </c>
      <c r="I84" s="34" t="s">
        <v>24</v>
      </c>
      <c r="J84" s="34" t="s">
        <v>24</v>
      </c>
      <c r="K84" s="34" t="s">
        <v>24</v>
      </c>
      <c r="L84" s="34" t="s">
        <v>24</v>
      </c>
      <c r="M84" s="34" t="s">
        <v>24</v>
      </c>
      <c r="N84" s="34" t="s">
        <v>24</v>
      </c>
      <c r="O84" s="34" t="s">
        <v>24</v>
      </c>
      <c r="P84" s="34"/>
      <c r="Q84" s="34"/>
      <c r="R84" s="34"/>
      <c r="S84" s="34" t="s">
        <v>285</v>
      </c>
    </row>
    <row r="85" spans="1:19" s="36" customFormat="1" ht="39" x14ac:dyDescent="0.35">
      <c r="A85" s="33"/>
      <c r="B85" s="34" t="s">
        <v>257</v>
      </c>
      <c r="C85" s="34" t="s">
        <v>286</v>
      </c>
      <c r="D85" s="34" t="s">
        <v>21</v>
      </c>
      <c r="E85" s="34" t="s">
        <v>287</v>
      </c>
      <c r="F85" s="34" t="s">
        <v>260</v>
      </c>
      <c r="G85" s="34" t="s">
        <v>25</v>
      </c>
      <c r="H85" s="34" t="s">
        <v>25</v>
      </c>
      <c r="I85" s="34" t="s">
        <v>24</v>
      </c>
      <c r="J85" s="34" t="s">
        <v>24</v>
      </c>
      <c r="K85" s="34" t="s">
        <v>24</v>
      </c>
      <c r="L85" s="34" t="s">
        <v>24</v>
      </c>
      <c r="M85" s="34" t="s">
        <v>24</v>
      </c>
      <c r="N85" s="34" t="s">
        <v>24</v>
      </c>
      <c r="O85" s="34" t="s">
        <v>24</v>
      </c>
      <c r="P85" s="34"/>
      <c r="Q85" s="34"/>
      <c r="R85" s="34"/>
      <c r="S85" s="34" t="s">
        <v>288</v>
      </c>
    </row>
    <row r="86" spans="1:19" s="36" customFormat="1" ht="65" x14ac:dyDescent="0.35">
      <c r="A86" s="33"/>
      <c r="B86" s="34" t="s">
        <v>257</v>
      </c>
      <c r="C86" s="34" t="s">
        <v>289</v>
      </c>
      <c r="D86" s="34"/>
      <c r="E86" s="34" t="s">
        <v>290</v>
      </c>
      <c r="F86" s="34" t="s">
        <v>7</v>
      </c>
      <c r="G86" s="34"/>
      <c r="H86" s="34" t="s">
        <v>25</v>
      </c>
      <c r="I86" s="34"/>
      <c r="J86" s="34"/>
      <c r="K86" s="34"/>
      <c r="L86" s="34"/>
      <c r="M86" s="34"/>
      <c r="N86" s="34"/>
      <c r="O86" s="34"/>
      <c r="P86" s="34"/>
      <c r="Q86" s="34"/>
      <c r="R86" s="34"/>
      <c r="S86" s="34" t="s">
        <v>291</v>
      </c>
    </row>
    <row r="87" spans="1:19" s="36" customFormat="1" ht="65" x14ac:dyDescent="0.35">
      <c r="A87" s="33"/>
      <c r="B87" s="34" t="s">
        <v>257</v>
      </c>
      <c r="C87" s="34" t="s">
        <v>292</v>
      </c>
      <c r="D87" s="34" t="s">
        <v>21</v>
      </c>
      <c r="E87" s="34" t="s">
        <v>278</v>
      </c>
      <c r="F87" s="34" t="s">
        <v>7</v>
      </c>
      <c r="G87" s="34" t="s">
        <v>24</v>
      </c>
      <c r="H87" s="34" t="s">
        <v>25</v>
      </c>
      <c r="I87" s="34" t="s">
        <v>24</v>
      </c>
      <c r="J87" s="34" t="s">
        <v>24</v>
      </c>
      <c r="K87" s="34" t="s">
        <v>24</v>
      </c>
      <c r="L87" s="34" t="s">
        <v>24</v>
      </c>
      <c r="M87" s="34" t="s">
        <v>24</v>
      </c>
      <c r="N87" s="34" t="s">
        <v>24</v>
      </c>
      <c r="O87" s="34" t="s">
        <v>24</v>
      </c>
      <c r="P87" s="34"/>
      <c r="Q87" s="34"/>
      <c r="R87" s="34"/>
      <c r="S87" s="34" t="s">
        <v>293</v>
      </c>
    </row>
    <row r="88" spans="1:19" s="36" customFormat="1" ht="39" x14ac:dyDescent="0.35">
      <c r="A88" s="33"/>
      <c r="B88" s="34" t="s">
        <v>257</v>
      </c>
      <c r="C88" s="34" t="s">
        <v>294</v>
      </c>
      <c r="D88" s="34" t="s">
        <v>21</v>
      </c>
      <c r="E88" s="34" t="s">
        <v>295</v>
      </c>
      <c r="F88" s="34" t="s">
        <v>7</v>
      </c>
      <c r="G88" s="34"/>
      <c r="H88" s="34" t="s">
        <v>25</v>
      </c>
      <c r="I88" s="34" t="s">
        <v>24</v>
      </c>
      <c r="J88" s="34" t="s">
        <v>24</v>
      </c>
      <c r="K88" s="34" t="s">
        <v>24</v>
      </c>
      <c r="L88" s="34" t="s">
        <v>24</v>
      </c>
      <c r="M88" s="34" t="s">
        <v>24</v>
      </c>
      <c r="N88" s="34" t="s">
        <v>24</v>
      </c>
      <c r="O88" s="34" t="s">
        <v>24</v>
      </c>
      <c r="P88" s="34"/>
      <c r="Q88" s="34"/>
      <c r="R88" s="34"/>
      <c r="S88" s="34" t="s">
        <v>296</v>
      </c>
    </row>
    <row r="89" spans="1:19" ht="104" x14ac:dyDescent="0.35">
      <c r="A89" s="33"/>
      <c r="B89" s="33" t="s">
        <v>216</v>
      </c>
      <c r="C89" s="49" t="s">
        <v>297</v>
      </c>
      <c r="D89" s="49"/>
      <c r="E89" s="6" t="s">
        <v>298</v>
      </c>
      <c r="F89" s="49"/>
      <c r="G89" s="49"/>
      <c r="H89" s="49"/>
      <c r="I89" s="49"/>
      <c r="J89" s="49"/>
      <c r="K89" s="49"/>
      <c r="L89" s="49"/>
      <c r="M89" s="49"/>
      <c r="N89" s="49"/>
      <c r="O89" s="49"/>
      <c r="P89" s="49"/>
      <c r="Q89" s="49"/>
      <c r="R89" s="49"/>
      <c r="S89" s="6" t="s">
        <v>298</v>
      </c>
    </row>
    <row r="90" spans="1:19" ht="78" x14ac:dyDescent="0.35">
      <c r="A90" s="33"/>
      <c r="B90" s="34" t="s">
        <v>250</v>
      </c>
      <c r="C90" s="6" t="s">
        <v>299</v>
      </c>
      <c r="D90" s="49"/>
      <c r="E90" s="49" t="s">
        <v>300</v>
      </c>
      <c r="F90" s="49"/>
      <c r="G90" s="49"/>
      <c r="H90" s="49"/>
      <c r="I90" s="49"/>
      <c r="J90" s="49"/>
      <c r="K90" s="49"/>
      <c r="L90" s="49"/>
      <c r="M90" s="49"/>
      <c r="N90" s="49"/>
      <c r="O90" s="49"/>
      <c r="P90" s="49"/>
      <c r="Q90" s="49"/>
      <c r="R90" s="49"/>
      <c r="S90" s="49" t="s">
        <v>300</v>
      </c>
    </row>
    <row r="91" spans="1:19" ht="104" x14ac:dyDescent="0.35">
      <c r="A91" s="33"/>
      <c r="B91" s="34" t="s">
        <v>257</v>
      </c>
      <c r="C91" s="49" t="s">
        <v>301</v>
      </c>
      <c r="D91" s="49"/>
      <c r="E91" s="49" t="s">
        <v>302</v>
      </c>
      <c r="F91" s="49"/>
      <c r="G91" s="49"/>
      <c r="H91" s="49"/>
      <c r="I91" s="49"/>
      <c r="J91" s="49"/>
      <c r="K91" s="49"/>
      <c r="L91" s="49"/>
      <c r="M91" s="49"/>
      <c r="N91" s="49"/>
      <c r="O91" s="49"/>
      <c r="P91" s="49"/>
      <c r="Q91" s="49"/>
      <c r="R91" s="49"/>
      <c r="S91" s="49" t="s">
        <v>302</v>
      </c>
    </row>
    <row r="92" spans="1:19" ht="104" x14ac:dyDescent="0.35">
      <c r="A92" s="33"/>
      <c r="B92" s="33" t="s">
        <v>19</v>
      </c>
      <c r="C92" s="49" t="s">
        <v>303</v>
      </c>
      <c r="D92" s="49"/>
      <c r="E92" s="6" t="s">
        <v>304</v>
      </c>
      <c r="F92" s="49"/>
      <c r="G92" s="49"/>
      <c r="H92" s="49"/>
      <c r="I92" s="49"/>
      <c r="J92" s="49"/>
      <c r="K92" s="49"/>
      <c r="L92" s="49"/>
      <c r="M92" s="49"/>
      <c r="N92" s="49"/>
      <c r="O92" s="49"/>
      <c r="P92" s="49"/>
      <c r="Q92" s="49"/>
      <c r="R92" s="49"/>
      <c r="S92" s="6" t="s">
        <v>304</v>
      </c>
    </row>
    <row r="93" spans="1:19" ht="130" x14ac:dyDescent="0.35">
      <c r="A93" s="33"/>
      <c r="B93" s="33" t="s">
        <v>19</v>
      </c>
      <c r="C93" s="49" t="s">
        <v>305</v>
      </c>
      <c r="D93" s="49"/>
      <c r="E93" s="6" t="s">
        <v>306</v>
      </c>
      <c r="F93" s="49"/>
      <c r="G93" s="49"/>
      <c r="H93" s="49"/>
      <c r="I93" s="49"/>
      <c r="J93" s="49"/>
      <c r="K93" s="49"/>
      <c r="L93" s="49"/>
      <c r="M93" s="49"/>
      <c r="N93" s="49"/>
      <c r="O93" s="49"/>
      <c r="P93" s="49"/>
      <c r="Q93" s="49"/>
      <c r="R93" s="49"/>
      <c r="S93" s="6" t="s">
        <v>306</v>
      </c>
    </row>
    <row r="94" spans="1:19" ht="130" x14ac:dyDescent="0.35">
      <c r="A94" s="33"/>
      <c r="B94" s="49"/>
      <c r="C94" s="49" t="s">
        <v>307</v>
      </c>
      <c r="D94" s="49"/>
      <c r="E94" s="6" t="s">
        <v>308</v>
      </c>
      <c r="F94" s="49"/>
      <c r="G94" s="49"/>
      <c r="H94" s="49"/>
      <c r="I94" s="49"/>
      <c r="J94" s="49"/>
      <c r="K94" s="49"/>
      <c r="L94" s="49"/>
      <c r="M94" s="49"/>
      <c r="N94" s="49"/>
      <c r="O94" s="49"/>
      <c r="P94" s="49"/>
      <c r="Q94" s="49"/>
      <c r="R94" s="49"/>
      <c r="S94" s="6" t="s">
        <v>308</v>
      </c>
    </row>
    <row r="95" spans="1:19" ht="260" x14ac:dyDescent="0.35">
      <c r="A95" s="33"/>
      <c r="B95" s="49"/>
      <c r="C95" s="49" t="s">
        <v>309</v>
      </c>
      <c r="D95" s="49"/>
      <c r="E95" s="6" t="s">
        <v>310</v>
      </c>
      <c r="F95" s="49"/>
      <c r="G95" s="49"/>
      <c r="H95" s="49"/>
      <c r="I95" s="49"/>
      <c r="J95" s="49"/>
      <c r="K95" s="49"/>
      <c r="L95" s="49"/>
      <c r="M95" s="49"/>
      <c r="N95" s="49"/>
      <c r="O95" s="49"/>
      <c r="P95" s="49"/>
      <c r="Q95" s="49"/>
      <c r="R95" s="49"/>
      <c r="S95" s="6" t="s">
        <v>310</v>
      </c>
    </row>
    <row r="96" spans="1:19" ht="130" x14ac:dyDescent="0.35">
      <c r="A96" s="84"/>
      <c r="B96" s="56"/>
      <c r="C96" s="49" t="s">
        <v>311</v>
      </c>
      <c r="D96" s="56"/>
      <c r="E96" s="8" t="s">
        <v>312</v>
      </c>
      <c r="F96" s="56"/>
      <c r="G96" s="56"/>
      <c r="H96" s="56"/>
      <c r="I96" s="56"/>
      <c r="J96" s="56"/>
      <c r="K96" s="56"/>
      <c r="L96" s="56"/>
      <c r="M96" s="56"/>
      <c r="N96" s="56"/>
      <c r="O96" s="56"/>
      <c r="P96" s="56"/>
      <c r="Q96" s="56"/>
      <c r="R96" s="56"/>
      <c r="S96" s="8" t="s">
        <v>312</v>
      </c>
    </row>
    <row r="97" spans="1:19" ht="156" x14ac:dyDescent="0.35">
      <c r="A97" s="84"/>
      <c r="B97" s="56"/>
      <c r="C97" s="49" t="s">
        <v>313</v>
      </c>
      <c r="D97" s="56"/>
      <c r="E97" s="8" t="s">
        <v>314</v>
      </c>
      <c r="F97" s="56"/>
      <c r="G97" s="56"/>
      <c r="H97" s="56"/>
      <c r="I97" s="56"/>
      <c r="J97" s="56"/>
      <c r="K97" s="56"/>
      <c r="L97" s="56"/>
      <c r="M97" s="56"/>
      <c r="N97" s="56"/>
      <c r="O97" s="56"/>
      <c r="P97" s="56"/>
      <c r="Q97" s="56"/>
      <c r="R97" s="56"/>
      <c r="S97" s="8" t="s">
        <v>314</v>
      </c>
    </row>
    <row r="98" spans="1:19" ht="221" x14ac:dyDescent="0.35">
      <c r="A98" s="84"/>
      <c r="B98" s="56"/>
      <c r="C98" s="49" t="s">
        <v>315</v>
      </c>
      <c r="D98" s="56"/>
      <c r="E98" s="8" t="s">
        <v>316</v>
      </c>
      <c r="F98" s="56"/>
      <c r="G98" s="56"/>
      <c r="H98" s="56"/>
      <c r="I98" s="56"/>
      <c r="J98" s="56"/>
      <c r="K98" s="56"/>
      <c r="L98" s="56"/>
      <c r="M98" s="56"/>
      <c r="N98" s="56"/>
      <c r="O98" s="56"/>
      <c r="P98" s="56"/>
      <c r="Q98" s="56"/>
      <c r="R98" s="56"/>
      <c r="S98" s="8" t="s">
        <v>316</v>
      </c>
    </row>
    <row r="99" spans="1:19" ht="182" x14ac:dyDescent="0.35">
      <c r="A99" s="33"/>
      <c r="B99" s="49"/>
      <c r="C99" s="49" t="s">
        <v>317</v>
      </c>
      <c r="D99" s="49"/>
      <c r="E99" s="6" t="s">
        <v>318</v>
      </c>
      <c r="F99" s="49"/>
      <c r="G99" s="49"/>
      <c r="H99" s="49"/>
      <c r="I99" s="49"/>
      <c r="J99" s="49"/>
      <c r="K99" s="49"/>
      <c r="L99" s="49"/>
      <c r="M99" s="49"/>
      <c r="N99" s="49"/>
      <c r="O99" s="49"/>
      <c r="P99" s="49"/>
      <c r="Q99" s="49"/>
      <c r="R99" s="49"/>
      <c r="S99" s="6" t="s">
        <v>318</v>
      </c>
    </row>
    <row r="100" spans="1:19" ht="182" x14ac:dyDescent="0.35">
      <c r="A100" s="84"/>
      <c r="B100" s="56"/>
      <c r="C100" s="49" t="s">
        <v>319</v>
      </c>
      <c r="D100" s="56"/>
      <c r="E100" s="8" t="s">
        <v>320</v>
      </c>
      <c r="F100" s="56"/>
      <c r="G100" s="56"/>
      <c r="H100" s="56"/>
      <c r="I100" s="56"/>
      <c r="J100" s="56"/>
      <c r="K100" s="56"/>
      <c r="L100" s="56"/>
      <c r="M100" s="56"/>
      <c r="N100" s="56"/>
      <c r="O100" s="56"/>
      <c r="P100" s="56"/>
      <c r="Q100" s="56"/>
      <c r="R100" s="56"/>
      <c r="S100" s="8" t="s">
        <v>320</v>
      </c>
    </row>
    <row r="101" spans="1:19" ht="208" x14ac:dyDescent="0.35">
      <c r="A101" s="84"/>
      <c r="B101" s="56"/>
      <c r="C101" s="49" t="s">
        <v>321</v>
      </c>
      <c r="D101" s="56"/>
      <c r="E101" s="8" t="s">
        <v>322</v>
      </c>
      <c r="F101" s="56"/>
      <c r="G101" s="56"/>
      <c r="H101" s="56"/>
      <c r="I101" s="56"/>
      <c r="J101" s="56"/>
      <c r="K101" s="56"/>
      <c r="L101" s="56"/>
      <c r="M101" s="56"/>
      <c r="N101" s="56"/>
      <c r="O101" s="56"/>
      <c r="P101" s="56"/>
      <c r="Q101" s="56"/>
      <c r="R101" s="56"/>
      <c r="S101" s="8" t="s">
        <v>322</v>
      </c>
    </row>
    <row r="102" spans="1:19" ht="182" x14ac:dyDescent="0.35">
      <c r="A102" s="84"/>
      <c r="B102" s="56"/>
      <c r="C102" s="49" t="s">
        <v>323</v>
      </c>
      <c r="D102" s="56"/>
      <c r="E102" s="8" t="s">
        <v>324</v>
      </c>
      <c r="F102" s="56"/>
      <c r="G102" s="56"/>
      <c r="H102" s="56"/>
      <c r="I102" s="56"/>
      <c r="J102" s="56"/>
      <c r="K102" s="56"/>
      <c r="L102" s="56"/>
      <c r="M102" s="56"/>
      <c r="N102" s="56"/>
      <c r="O102" s="56"/>
      <c r="P102" s="56"/>
      <c r="Q102" s="56"/>
      <c r="R102" s="56"/>
      <c r="S102" s="8" t="s">
        <v>324</v>
      </c>
    </row>
    <row r="103" spans="1:19" ht="260" x14ac:dyDescent="0.35">
      <c r="A103" s="84"/>
      <c r="B103" s="56"/>
      <c r="C103" s="49" t="s">
        <v>325</v>
      </c>
      <c r="D103" s="56"/>
      <c r="E103" s="8" t="s">
        <v>326</v>
      </c>
      <c r="F103" s="56"/>
      <c r="G103" s="56"/>
      <c r="H103" s="56"/>
      <c r="I103" s="56"/>
      <c r="J103" s="56"/>
      <c r="K103" s="56"/>
      <c r="L103" s="56"/>
      <c r="M103" s="56"/>
      <c r="N103" s="56"/>
      <c r="O103" s="56"/>
      <c r="P103" s="56"/>
      <c r="Q103" s="56"/>
      <c r="R103" s="56"/>
      <c r="S103" s="8" t="s">
        <v>326</v>
      </c>
    </row>
    <row r="104" spans="1:19" ht="208" x14ac:dyDescent="0.35">
      <c r="A104" s="84"/>
      <c r="B104" s="56"/>
      <c r="C104" s="56" t="s">
        <v>327</v>
      </c>
      <c r="D104" s="56"/>
      <c r="E104" s="6" t="s">
        <v>328</v>
      </c>
      <c r="F104" s="56"/>
      <c r="G104" s="56"/>
      <c r="H104" s="56"/>
      <c r="I104" s="56"/>
      <c r="J104" s="56"/>
      <c r="K104" s="56"/>
      <c r="L104" s="56"/>
      <c r="M104" s="56"/>
      <c r="N104" s="56"/>
      <c r="O104" s="56"/>
      <c r="P104" s="56"/>
      <c r="Q104" s="56"/>
      <c r="R104" s="56"/>
      <c r="S104" s="6" t="s">
        <v>328</v>
      </c>
    </row>
    <row r="105" spans="1:19" ht="195" x14ac:dyDescent="0.35">
      <c r="A105" s="33"/>
      <c r="B105" s="49"/>
      <c r="C105" s="49" t="s">
        <v>329</v>
      </c>
      <c r="D105" s="49"/>
      <c r="E105" s="8" t="s">
        <v>330</v>
      </c>
      <c r="F105" s="49"/>
      <c r="G105" s="49"/>
      <c r="H105" s="49"/>
      <c r="I105" s="49"/>
      <c r="J105" s="49"/>
      <c r="K105" s="49"/>
      <c r="L105" s="49"/>
      <c r="M105" s="49"/>
      <c r="N105" s="49"/>
      <c r="O105" s="49"/>
      <c r="P105" s="49"/>
      <c r="Q105" s="49"/>
      <c r="R105" s="49"/>
      <c r="S105" s="8" t="s">
        <v>330</v>
      </c>
    </row>
    <row r="106" spans="1:19" ht="260" x14ac:dyDescent="0.35">
      <c r="A106" s="84"/>
      <c r="B106" s="56"/>
      <c r="C106" s="49" t="s">
        <v>331</v>
      </c>
      <c r="D106" s="56"/>
      <c r="E106" s="8" t="s">
        <v>332</v>
      </c>
      <c r="F106" s="56"/>
      <c r="G106" s="56"/>
      <c r="H106" s="56"/>
      <c r="I106" s="56"/>
      <c r="J106" s="56"/>
      <c r="K106" s="56"/>
      <c r="L106" s="56"/>
      <c r="M106" s="56"/>
      <c r="N106" s="56"/>
      <c r="O106" s="56"/>
      <c r="P106" s="56"/>
      <c r="Q106" s="56"/>
      <c r="R106" s="56"/>
      <c r="S106" s="8" t="s">
        <v>332</v>
      </c>
    </row>
    <row r="107" spans="1:19" ht="156" x14ac:dyDescent="0.35">
      <c r="A107" s="84"/>
      <c r="B107" s="56"/>
      <c r="C107" s="56" t="s">
        <v>333</v>
      </c>
      <c r="D107" s="56"/>
      <c r="E107" s="6" t="s">
        <v>334</v>
      </c>
      <c r="F107" s="56"/>
      <c r="G107" s="56"/>
      <c r="H107" s="56"/>
      <c r="I107" s="56"/>
      <c r="J107" s="56"/>
      <c r="K107" s="56"/>
      <c r="L107" s="56"/>
      <c r="M107" s="56"/>
      <c r="N107" s="56"/>
      <c r="O107" s="56"/>
      <c r="P107" s="56"/>
      <c r="Q107" s="56"/>
      <c r="R107" s="56"/>
      <c r="S107" s="6" t="s">
        <v>334</v>
      </c>
    </row>
    <row r="108" spans="1:19" ht="286" x14ac:dyDescent="0.35">
      <c r="A108" s="84"/>
      <c r="B108" s="56"/>
      <c r="C108" s="56" t="s">
        <v>335</v>
      </c>
      <c r="D108" s="56"/>
      <c r="E108" s="6" t="s">
        <v>336</v>
      </c>
      <c r="F108" s="56"/>
      <c r="G108" s="56"/>
      <c r="H108" s="56"/>
      <c r="I108" s="56"/>
      <c r="J108" s="56"/>
      <c r="K108" s="56"/>
      <c r="L108" s="56"/>
      <c r="M108" s="56"/>
      <c r="N108" s="56"/>
      <c r="O108" s="56"/>
      <c r="P108" s="56"/>
      <c r="Q108" s="56"/>
      <c r="R108" s="56"/>
      <c r="S108" s="6" t="s">
        <v>336</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FEAE-C41D-433D-B7B1-DDC5C847FF42}">
  <dimension ref="A1:O111"/>
  <sheetViews>
    <sheetView zoomScale="90" zoomScaleNormal="90" workbookViewId="0">
      <pane xSplit="4" ySplit="1" topLeftCell="F107" activePane="bottomRight" state="frozen"/>
      <selection pane="topRight" activeCell="E1" sqref="E1"/>
      <selection pane="bottomLeft" activeCell="A2" sqref="A2"/>
      <selection pane="bottomRight" activeCell="F111" sqref="F111"/>
    </sheetView>
  </sheetViews>
  <sheetFormatPr defaultRowHeight="14.5" x14ac:dyDescent="0.35"/>
  <cols>
    <col min="2" max="2" width="16" customWidth="1"/>
    <col min="3" max="3" width="12.7265625" customWidth="1"/>
    <col min="4" max="4" width="22.26953125" customWidth="1"/>
    <col min="5" max="5" width="14.7265625" customWidth="1"/>
    <col min="6" max="7" width="56.81640625" customWidth="1"/>
    <col min="8" max="8" width="56.81640625" hidden="1" customWidth="1"/>
    <col min="9" max="9" width="56.81640625" customWidth="1"/>
    <col min="10" max="10" width="33.81640625" customWidth="1"/>
    <col min="11" max="11" width="43.26953125" customWidth="1"/>
    <col min="12" max="12" width="17.453125" customWidth="1"/>
  </cols>
  <sheetData>
    <row r="1" spans="1:12" x14ac:dyDescent="0.35">
      <c r="A1" s="68" t="s">
        <v>0</v>
      </c>
      <c r="B1" s="68" t="s">
        <v>337</v>
      </c>
      <c r="C1" s="68" t="s">
        <v>338</v>
      </c>
      <c r="D1" s="68" t="s">
        <v>339</v>
      </c>
      <c r="E1" s="69" t="s">
        <v>340</v>
      </c>
      <c r="F1" s="89" t="s">
        <v>341</v>
      </c>
      <c r="G1" s="93" t="s">
        <v>342</v>
      </c>
      <c r="H1" s="89" t="s">
        <v>343</v>
      </c>
      <c r="I1" s="89" t="s">
        <v>344</v>
      </c>
      <c r="J1" s="68" t="s">
        <v>345</v>
      </c>
      <c r="K1" s="70" t="s">
        <v>346</v>
      </c>
      <c r="L1" s="71" t="s">
        <v>347</v>
      </c>
    </row>
    <row r="2" spans="1:12" ht="78.5" x14ac:dyDescent="0.35">
      <c r="A2" s="72"/>
      <c r="B2" s="73" t="s">
        <v>348</v>
      </c>
      <c r="C2" s="74"/>
      <c r="D2" s="72" t="s">
        <v>349</v>
      </c>
      <c r="E2" s="6" t="s">
        <v>350</v>
      </c>
      <c r="F2" s="72" t="s">
        <v>351</v>
      </c>
      <c r="G2" s="72" t="s">
        <v>351</v>
      </c>
      <c r="H2" s="72" t="e">
        <v>#N/A</v>
      </c>
      <c r="I2" s="72" t="e">
        <v>#N/A</v>
      </c>
      <c r="J2" s="11"/>
      <c r="K2" s="6" t="s">
        <v>352</v>
      </c>
      <c r="L2" s="72"/>
    </row>
    <row r="3" spans="1:12" ht="78" x14ac:dyDescent="0.35">
      <c r="A3" s="6"/>
      <c r="B3" s="29" t="s">
        <v>348</v>
      </c>
      <c r="C3" s="57"/>
      <c r="D3" s="6" t="s">
        <v>28</v>
      </c>
      <c r="E3" s="6" t="s">
        <v>353</v>
      </c>
      <c r="F3" s="6" t="s">
        <v>354</v>
      </c>
      <c r="G3" s="6" t="s">
        <v>354</v>
      </c>
      <c r="H3" s="6" t="s">
        <v>32</v>
      </c>
      <c r="I3" s="6" t="s">
        <v>355</v>
      </c>
      <c r="J3" s="11"/>
      <c r="K3" s="6" t="s">
        <v>352</v>
      </c>
      <c r="L3" s="6"/>
    </row>
    <row r="4" spans="1:12" ht="26" x14ac:dyDescent="0.35">
      <c r="A4" s="6"/>
      <c r="B4" s="29" t="s">
        <v>348</v>
      </c>
      <c r="C4" s="57"/>
      <c r="D4" s="6" t="s">
        <v>356</v>
      </c>
      <c r="E4" s="6" t="s">
        <v>350</v>
      </c>
      <c r="F4" s="6" t="s">
        <v>357</v>
      </c>
      <c r="G4" s="6" t="s">
        <v>357</v>
      </c>
      <c r="H4" s="6" t="e">
        <v>#N/A</v>
      </c>
      <c r="I4" s="6" t="e">
        <v>#N/A</v>
      </c>
      <c r="J4" s="11"/>
      <c r="K4" s="6" t="s">
        <v>352</v>
      </c>
      <c r="L4" s="6"/>
    </row>
    <row r="5" spans="1:12" x14ac:dyDescent="0.35">
      <c r="A5" s="6"/>
      <c r="B5" s="29" t="s">
        <v>348</v>
      </c>
      <c r="C5" s="29"/>
      <c r="D5" s="6" t="s">
        <v>358</v>
      </c>
      <c r="E5" s="6" t="s">
        <v>359</v>
      </c>
      <c r="F5" s="58" t="s">
        <v>360</v>
      </c>
      <c r="G5" s="58" t="s">
        <v>360</v>
      </c>
      <c r="H5" s="58" t="e">
        <v>#N/A</v>
      </c>
      <c r="I5" s="58" t="e">
        <v>#N/A</v>
      </c>
      <c r="J5" s="11"/>
      <c r="K5" s="6" t="s">
        <v>352</v>
      </c>
      <c r="L5" s="6"/>
    </row>
    <row r="6" spans="1:12" ht="26" x14ac:dyDescent="0.35">
      <c r="A6" s="6"/>
      <c r="B6" s="29" t="s">
        <v>348</v>
      </c>
      <c r="C6" s="57"/>
      <c r="D6" s="6" t="s">
        <v>361</v>
      </c>
      <c r="E6" s="6" t="s">
        <v>359</v>
      </c>
      <c r="F6" s="58" t="s">
        <v>362</v>
      </c>
      <c r="G6" s="58" t="s">
        <v>362</v>
      </c>
      <c r="H6" s="58" t="e">
        <v>#N/A</v>
      </c>
      <c r="I6" s="58" t="e">
        <v>#N/A</v>
      </c>
      <c r="J6" s="11"/>
      <c r="K6" s="6" t="s">
        <v>352</v>
      </c>
      <c r="L6" s="6"/>
    </row>
    <row r="7" spans="1:12" ht="26" x14ac:dyDescent="0.35">
      <c r="A7" s="6"/>
      <c r="B7" s="29" t="s">
        <v>348</v>
      </c>
      <c r="C7" s="57"/>
      <c r="D7" s="6" t="s">
        <v>363</v>
      </c>
      <c r="E7" s="6" t="s">
        <v>359</v>
      </c>
      <c r="F7" s="58" t="s">
        <v>364</v>
      </c>
      <c r="G7" s="58" t="s">
        <v>364</v>
      </c>
      <c r="H7" s="58" t="e">
        <v>#N/A</v>
      </c>
      <c r="I7" s="58" t="e">
        <v>#N/A</v>
      </c>
      <c r="J7" s="11"/>
      <c r="K7" s="6" t="s">
        <v>352</v>
      </c>
      <c r="L7" s="6"/>
    </row>
    <row r="8" spans="1:12" x14ac:dyDescent="0.35">
      <c r="A8" s="6"/>
      <c r="B8" s="29" t="s">
        <v>348</v>
      </c>
      <c r="C8" s="57"/>
      <c r="D8" s="6" t="s">
        <v>365</v>
      </c>
      <c r="E8" s="6" t="s">
        <v>350</v>
      </c>
      <c r="F8" s="6" t="s">
        <v>366</v>
      </c>
      <c r="G8" s="6" t="s">
        <v>366</v>
      </c>
      <c r="H8" s="6" t="e">
        <v>#N/A</v>
      </c>
      <c r="I8" s="6" t="e">
        <v>#N/A</v>
      </c>
      <c r="J8" s="11"/>
      <c r="K8" s="6" t="s">
        <v>352</v>
      </c>
      <c r="L8" s="6"/>
    </row>
    <row r="9" spans="1:12" ht="26" x14ac:dyDescent="0.35">
      <c r="A9" s="6"/>
      <c r="B9" s="29" t="s">
        <v>348</v>
      </c>
      <c r="C9" s="57"/>
      <c r="D9" s="6" t="s">
        <v>367</v>
      </c>
      <c r="E9" s="6" t="s">
        <v>368</v>
      </c>
      <c r="F9" s="6" t="s">
        <v>369</v>
      </c>
      <c r="G9" s="6" t="s">
        <v>369</v>
      </c>
      <c r="H9" s="6" t="e">
        <v>#N/A</v>
      </c>
      <c r="I9" s="6" t="e">
        <v>#N/A</v>
      </c>
      <c r="J9" s="11"/>
      <c r="K9" s="6" t="s">
        <v>352</v>
      </c>
      <c r="L9" s="6"/>
    </row>
    <row r="10" spans="1:12" ht="169" x14ac:dyDescent="0.35">
      <c r="A10" s="6"/>
      <c r="B10" s="29" t="s">
        <v>370</v>
      </c>
      <c r="C10" s="57"/>
      <c r="D10" s="95" t="s">
        <v>370</v>
      </c>
      <c r="E10" s="6" t="s">
        <v>353</v>
      </c>
      <c r="F10" s="6" t="s">
        <v>371</v>
      </c>
      <c r="G10" s="6" t="s">
        <v>371</v>
      </c>
      <c r="H10" s="6" t="e">
        <v>#N/A</v>
      </c>
      <c r="I10" s="6" t="e">
        <v>#N/A</v>
      </c>
      <c r="J10" s="11"/>
      <c r="K10" s="6" t="s">
        <v>372</v>
      </c>
      <c r="L10" s="6"/>
    </row>
    <row r="11" spans="1:12" ht="182" x14ac:dyDescent="0.35">
      <c r="A11" s="6"/>
      <c r="B11" s="29" t="s">
        <v>373</v>
      </c>
      <c r="C11" s="57"/>
      <c r="D11" s="29" t="s">
        <v>373</v>
      </c>
      <c r="E11" s="6" t="s">
        <v>353</v>
      </c>
      <c r="F11" s="6" t="s">
        <v>374</v>
      </c>
      <c r="G11" s="6" t="s">
        <v>374</v>
      </c>
      <c r="H11" s="6" t="e">
        <v>#N/A</v>
      </c>
      <c r="I11" s="6" t="e">
        <v>#N/A</v>
      </c>
      <c r="J11" s="11"/>
      <c r="K11" s="6" t="s">
        <v>375</v>
      </c>
      <c r="L11" s="6"/>
    </row>
    <row r="12" spans="1:12" ht="195" x14ac:dyDescent="0.35">
      <c r="A12" s="6"/>
      <c r="B12" s="29" t="s">
        <v>376</v>
      </c>
      <c r="C12" s="57"/>
      <c r="D12" s="29" t="s">
        <v>376</v>
      </c>
      <c r="E12" s="6" t="s">
        <v>353</v>
      </c>
      <c r="F12" s="6" t="s">
        <v>377</v>
      </c>
      <c r="G12" s="6" t="s">
        <v>377</v>
      </c>
      <c r="H12" s="6" t="e">
        <v>#N/A</v>
      </c>
      <c r="I12" s="6" t="e">
        <v>#N/A</v>
      </c>
      <c r="J12" s="11"/>
      <c r="K12" s="29" t="s">
        <v>378</v>
      </c>
      <c r="L12" s="6"/>
    </row>
    <row r="13" spans="1:12" ht="130" x14ac:dyDescent="0.35">
      <c r="A13" s="6"/>
      <c r="B13" s="29" t="s">
        <v>379</v>
      </c>
      <c r="C13" s="57"/>
      <c r="D13" s="6" t="s">
        <v>379</v>
      </c>
      <c r="E13" s="6" t="s">
        <v>353</v>
      </c>
      <c r="F13" s="6" t="s">
        <v>380</v>
      </c>
      <c r="G13" s="6" t="s">
        <v>380</v>
      </c>
      <c r="H13" s="6" t="e">
        <v>#N/A</v>
      </c>
      <c r="I13" s="6" t="e">
        <v>#N/A</v>
      </c>
      <c r="J13" s="11"/>
      <c r="K13" s="29" t="s">
        <v>381</v>
      </c>
      <c r="L13" s="6"/>
    </row>
    <row r="14" spans="1:12" s="9" customFormat="1" ht="65" x14ac:dyDescent="0.35">
      <c r="A14" s="6"/>
      <c r="B14" s="29" t="s">
        <v>19</v>
      </c>
      <c r="C14" s="57"/>
      <c r="D14" s="6" t="s">
        <v>20</v>
      </c>
      <c r="E14" s="6" t="s">
        <v>353</v>
      </c>
      <c r="F14" s="6" t="s">
        <v>382</v>
      </c>
      <c r="G14" s="6" t="s">
        <v>383</v>
      </c>
      <c r="H14" s="6" t="s">
        <v>27</v>
      </c>
      <c r="I14" s="6" t="s">
        <v>22</v>
      </c>
      <c r="J14" s="11"/>
      <c r="K14" s="6" t="s">
        <v>384</v>
      </c>
      <c r="L14" s="6"/>
    </row>
    <row r="15" spans="1:12" s="9" customFormat="1" x14ac:dyDescent="0.35">
      <c r="A15" s="6"/>
      <c r="B15" s="29"/>
      <c r="C15" s="57"/>
      <c r="D15" s="6"/>
      <c r="E15" s="6"/>
      <c r="F15" s="6"/>
      <c r="G15" s="8"/>
      <c r="H15" s="8"/>
      <c r="I15" s="8"/>
      <c r="J15" s="11" t="e">
        <f>VLOOKUP(Table6913[[#This Row],[Data Field]],'Extraction Fields_JSON'!C:D,19,FALSE)</f>
        <v>#N/A</v>
      </c>
      <c r="K15" s="6"/>
      <c r="L15" s="6"/>
    </row>
    <row r="16" spans="1:12" s="9" customFormat="1" ht="78" x14ac:dyDescent="0.35">
      <c r="A16" s="6"/>
      <c r="B16" s="29" t="s">
        <v>19</v>
      </c>
      <c r="C16" s="57"/>
      <c r="D16" s="34" t="s">
        <v>28</v>
      </c>
      <c r="E16" s="6" t="s">
        <v>353</v>
      </c>
      <c r="F16" s="6" t="s">
        <v>385</v>
      </c>
      <c r="G16" s="6" t="s">
        <v>385</v>
      </c>
      <c r="H16" s="6" t="s">
        <v>32</v>
      </c>
      <c r="I16" s="6" t="s">
        <v>355</v>
      </c>
      <c r="J16" s="11"/>
      <c r="K16" s="6" t="s">
        <v>384</v>
      </c>
      <c r="L16" s="6"/>
    </row>
    <row r="17" spans="1:12" s="9" customFormat="1" ht="39" x14ac:dyDescent="0.35">
      <c r="A17" s="6"/>
      <c r="B17" s="29" t="s">
        <v>19</v>
      </c>
      <c r="C17" s="57"/>
      <c r="D17" s="6" t="s">
        <v>33</v>
      </c>
      <c r="E17" s="6" t="s">
        <v>353</v>
      </c>
      <c r="F17" s="6" t="s">
        <v>386</v>
      </c>
      <c r="G17" s="6" t="s">
        <v>387</v>
      </c>
      <c r="H17" s="6" t="s">
        <v>37</v>
      </c>
      <c r="I17" s="6" t="s">
        <v>35</v>
      </c>
      <c r="J17" s="11"/>
      <c r="K17" s="6" t="s">
        <v>384</v>
      </c>
      <c r="L17" s="6"/>
    </row>
    <row r="18" spans="1:12" s="9" customFormat="1" ht="26" x14ac:dyDescent="0.35">
      <c r="A18" s="6"/>
      <c r="B18" s="29" t="s">
        <v>19</v>
      </c>
      <c r="C18" s="57"/>
      <c r="D18" s="6" t="s">
        <v>38</v>
      </c>
      <c r="E18" s="6" t="s">
        <v>353</v>
      </c>
      <c r="F18" s="6" t="s">
        <v>388</v>
      </c>
      <c r="G18" s="6" t="s">
        <v>389</v>
      </c>
      <c r="H18" s="6" t="s">
        <v>43</v>
      </c>
      <c r="I18" s="6" t="s">
        <v>390</v>
      </c>
      <c r="J18" s="11"/>
      <c r="K18" s="6" t="s">
        <v>384</v>
      </c>
      <c r="L18" s="6"/>
    </row>
    <row r="19" spans="1:12" s="9" customFormat="1" ht="39" x14ac:dyDescent="0.35">
      <c r="A19" s="6"/>
      <c r="B19" s="29" t="s">
        <v>19</v>
      </c>
      <c r="C19" s="57"/>
      <c r="D19" s="6" t="s">
        <v>65</v>
      </c>
      <c r="E19" s="6" t="s">
        <v>353</v>
      </c>
      <c r="F19" s="6" t="s">
        <v>391</v>
      </c>
      <c r="G19" s="6" t="s">
        <v>392</v>
      </c>
      <c r="H19" s="6" t="s">
        <v>67</v>
      </c>
      <c r="I19" s="6" t="s">
        <v>66</v>
      </c>
      <c r="J19" s="11"/>
      <c r="K19" s="6" t="s">
        <v>384</v>
      </c>
      <c r="L19" s="6"/>
    </row>
    <row r="20" spans="1:12" s="9" customFormat="1" ht="39" x14ac:dyDescent="0.35">
      <c r="A20" s="6"/>
      <c r="B20" s="29" t="s">
        <v>19</v>
      </c>
      <c r="C20" s="57"/>
      <c r="D20" s="6" t="s">
        <v>393</v>
      </c>
      <c r="E20" s="6" t="s">
        <v>353</v>
      </c>
      <c r="F20" s="6" t="s">
        <v>394</v>
      </c>
      <c r="G20" s="6" t="s">
        <v>395</v>
      </c>
      <c r="H20" s="6" t="s">
        <v>70</v>
      </c>
      <c r="I20" s="6" t="s">
        <v>396</v>
      </c>
      <c r="J20" s="11"/>
      <c r="K20" s="6" t="s">
        <v>384</v>
      </c>
      <c r="L20" s="6"/>
    </row>
    <row r="21" spans="1:12" s="9" customFormat="1" ht="26" x14ac:dyDescent="0.35">
      <c r="A21" s="6"/>
      <c r="B21" s="29" t="s">
        <v>19</v>
      </c>
      <c r="C21" s="57"/>
      <c r="D21" s="6" t="s">
        <v>71</v>
      </c>
      <c r="E21" s="6" t="s">
        <v>353</v>
      </c>
      <c r="F21" s="6" t="s">
        <v>397</v>
      </c>
      <c r="G21" s="6" t="s">
        <v>398</v>
      </c>
      <c r="H21" s="6" t="s">
        <v>72</v>
      </c>
      <c r="I21" s="6" t="s">
        <v>399</v>
      </c>
      <c r="J21" s="11"/>
      <c r="K21" s="6" t="s">
        <v>384</v>
      </c>
      <c r="L21" s="6"/>
    </row>
    <row r="22" spans="1:12" s="9" customFormat="1" ht="52" x14ac:dyDescent="0.35">
      <c r="A22" s="6"/>
      <c r="B22" s="29" t="s">
        <v>19</v>
      </c>
      <c r="C22" s="57"/>
      <c r="D22" s="6" t="s">
        <v>95</v>
      </c>
      <c r="E22" s="6" t="s">
        <v>353</v>
      </c>
      <c r="F22" s="6" t="s">
        <v>400</v>
      </c>
      <c r="G22" s="6" t="s">
        <v>401</v>
      </c>
      <c r="H22" s="6" t="s">
        <v>97</v>
      </c>
      <c r="I22" s="6" t="s">
        <v>402</v>
      </c>
      <c r="J22" s="11"/>
      <c r="K22" s="6" t="s">
        <v>384</v>
      </c>
      <c r="L22" s="6"/>
    </row>
    <row r="23" spans="1:12" s="9" customFormat="1" ht="39" x14ac:dyDescent="0.35">
      <c r="A23" s="6"/>
      <c r="B23" s="29" t="s">
        <v>19</v>
      </c>
      <c r="C23" s="57"/>
      <c r="D23" s="6" t="s">
        <v>403</v>
      </c>
      <c r="E23" s="6" t="s">
        <v>353</v>
      </c>
      <c r="F23" s="6" t="s">
        <v>404</v>
      </c>
      <c r="G23" s="6" t="s">
        <v>405</v>
      </c>
      <c r="H23" s="6" t="s">
        <v>75</v>
      </c>
      <c r="I23" s="6" t="s">
        <v>406</v>
      </c>
      <c r="J23" s="11"/>
      <c r="K23" s="6" t="s">
        <v>384</v>
      </c>
      <c r="L23" s="6"/>
    </row>
    <row r="24" spans="1:12" s="9" customFormat="1" ht="52" x14ac:dyDescent="0.35">
      <c r="A24" s="6"/>
      <c r="B24" s="29" t="s">
        <v>19</v>
      </c>
      <c r="C24" s="57"/>
      <c r="D24" s="6" t="s">
        <v>56</v>
      </c>
      <c r="E24" s="6" t="s">
        <v>353</v>
      </c>
      <c r="F24" s="6" t="s">
        <v>407</v>
      </c>
      <c r="G24" s="6" t="s">
        <v>408</v>
      </c>
      <c r="H24" s="6" t="s">
        <v>58</v>
      </c>
      <c r="I24" s="6" t="s">
        <v>409</v>
      </c>
      <c r="J24" s="11"/>
      <c r="K24" s="6" t="s">
        <v>384</v>
      </c>
      <c r="L24" s="6"/>
    </row>
    <row r="25" spans="1:12" s="9" customFormat="1" ht="78" x14ac:dyDescent="0.35">
      <c r="A25" s="6"/>
      <c r="B25" s="29" t="s">
        <v>19</v>
      </c>
      <c r="C25" s="57"/>
      <c r="D25" s="6" t="s">
        <v>59</v>
      </c>
      <c r="E25" s="6" t="s">
        <v>353</v>
      </c>
      <c r="F25" s="6" t="s">
        <v>410</v>
      </c>
      <c r="G25" s="6" t="s">
        <v>411</v>
      </c>
      <c r="H25" s="6" t="s">
        <v>61</v>
      </c>
      <c r="I25" s="6" t="s">
        <v>60</v>
      </c>
      <c r="J25" s="11"/>
      <c r="K25" s="6" t="s">
        <v>384</v>
      </c>
      <c r="L25" s="6"/>
    </row>
    <row r="26" spans="1:12" s="9" customFormat="1" ht="52" x14ac:dyDescent="0.35">
      <c r="A26" s="6"/>
      <c r="B26" s="29" t="s">
        <v>19</v>
      </c>
      <c r="C26" s="57"/>
      <c r="D26" s="6" t="s">
        <v>62</v>
      </c>
      <c r="E26" s="6" t="s">
        <v>353</v>
      </c>
      <c r="F26" s="6" t="s">
        <v>412</v>
      </c>
      <c r="G26" s="6" t="s">
        <v>413</v>
      </c>
      <c r="H26" s="6" t="s">
        <v>64</v>
      </c>
      <c r="I26" s="6" t="s">
        <v>63</v>
      </c>
      <c r="J26" s="11"/>
      <c r="K26" s="6" t="s">
        <v>384</v>
      </c>
      <c r="L26" s="6"/>
    </row>
    <row r="27" spans="1:12" s="9" customFormat="1" ht="52" x14ac:dyDescent="0.35">
      <c r="A27" s="6"/>
      <c r="B27" s="29" t="s">
        <v>19</v>
      </c>
      <c r="C27" s="57"/>
      <c r="D27" s="6" t="s">
        <v>44</v>
      </c>
      <c r="E27" s="6" t="s">
        <v>353</v>
      </c>
      <c r="F27" s="6" t="s">
        <v>414</v>
      </c>
      <c r="G27" s="6" t="s">
        <v>415</v>
      </c>
      <c r="H27" s="6" t="s">
        <v>48</v>
      </c>
      <c r="I27" s="6" t="s">
        <v>416</v>
      </c>
      <c r="J27" s="11"/>
      <c r="K27" s="6" t="s">
        <v>384</v>
      </c>
      <c r="L27" s="6"/>
    </row>
    <row r="28" spans="1:12" s="9" customFormat="1" ht="39" x14ac:dyDescent="0.35">
      <c r="A28" s="6"/>
      <c r="B28" s="29" t="s">
        <v>19</v>
      </c>
      <c r="C28" s="57"/>
      <c r="D28" s="19" t="s">
        <v>417</v>
      </c>
      <c r="E28" s="6" t="s">
        <v>353</v>
      </c>
      <c r="F28" s="6" t="s">
        <v>418</v>
      </c>
      <c r="G28" s="6" t="s">
        <v>419</v>
      </c>
      <c r="H28" s="6" t="e">
        <v>#N/A</v>
      </c>
      <c r="I28" s="6" t="s">
        <v>420</v>
      </c>
      <c r="J28" s="11"/>
      <c r="K28" s="6" t="s">
        <v>384</v>
      </c>
      <c r="L28" s="6"/>
    </row>
    <row r="29" spans="1:12" s="9" customFormat="1" ht="39" x14ac:dyDescent="0.35">
      <c r="A29" s="6"/>
      <c r="B29" s="94" t="s">
        <v>19</v>
      </c>
      <c r="C29" s="57"/>
      <c r="D29" s="6" t="s">
        <v>92</v>
      </c>
      <c r="E29" s="6" t="s">
        <v>353</v>
      </c>
      <c r="F29" s="6" t="s">
        <v>397</v>
      </c>
      <c r="G29" s="6" t="s">
        <v>421</v>
      </c>
      <c r="H29" s="6" t="s">
        <v>94</v>
      </c>
      <c r="I29" s="6" t="s">
        <v>422</v>
      </c>
      <c r="J29" s="11"/>
      <c r="K29" s="6" t="s">
        <v>384</v>
      </c>
      <c r="L29" s="6"/>
    </row>
    <row r="30" spans="1:12" s="9" customFormat="1" ht="52" x14ac:dyDescent="0.35">
      <c r="A30" s="6"/>
      <c r="B30" s="29" t="s">
        <v>19</v>
      </c>
      <c r="C30" s="57"/>
      <c r="D30" s="6" t="s">
        <v>49</v>
      </c>
      <c r="E30" s="6" t="s">
        <v>353</v>
      </c>
      <c r="F30" s="6" t="s">
        <v>423</v>
      </c>
      <c r="G30" s="6" t="s">
        <v>424</v>
      </c>
      <c r="H30" s="6" t="s">
        <v>52</v>
      </c>
      <c r="I30" s="6" t="s">
        <v>425</v>
      </c>
      <c r="J30" s="11"/>
      <c r="K30" s="6" t="s">
        <v>384</v>
      </c>
      <c r="L30" s="6"/>
    </row>
    <row r="31" spans="1:12" s="9" customFormat="1" ht="117" x14ac:dyDescent="0.35">
      <c r="A31" s="6"/>
      <c r="B31" s="29" t="s">
        <v>19</v>
      </c>
      <c r="C31" s="57"/>
      <c r="D31" s="6" t="s">
        <v>426</v>
      </c>
      <c r="E31" s="6" t="s">
        <v>353</v>
      </c>
      <c r="F31" s="6" t="s">
        <v>427</v>
      </c>
      <c r="G31" s="6" t="s">
        <v>428</v>
      </c>
      <c r="H31" s="6" t="s">
        <v>85</v>
      </c>
      <c r="I31" s="6" t="s">
        <v>429</v>
      </c>
      <c r="J31" s="11"/>
      <c r="K31" s="6" t="s">
        <v>384</v>
      </c>
      <c r="L31" s="6"/>
    </row>
    <row r="32" spans="1:12" s="9" customFormat="1" ht="39" x14ac:dyDescent="0.35">
      <c r="A32" s="6"/>
      <c r="B32" s="29" t="s">
        <v>19</v>
      </c>
      <c r="C32" s="57"/>
      <c r="D32" s="6" t="s">
        <v>76</v>
      </c>
      <c r="E32" s="6" t="s">
        <v>353</v>
      </c>
      <c r="F32" s="6" t="s">
        <v>397</v>
      </c>
      <c r="G32" s="6" t="s">
        <v>430</v>
      </c>
      <c r="H32" s="6" t="s">
        <v>78</v>
      </c>
      <c r="I32" s="6" t="s">
        <v>431</v>
      </c>
      <c r="J32" s="11"/>
      <c r="K32" s="6" t="s">
        <v>384</v>
      </c>
      <c r="L32" s="6"/>
    </row>
    <row r="33" spans="1:12" s="9" customFormat="1" ht="26" x14ac:dyDescent="0.35">
      <c r="A33" s="6"/>
      <c r="B33" s="29" t="s">
        <v>19</v>
      </c>
      <c r="C33" s="57"/>
      <c r="D33" s="6" t="s">
        <v>79</v>
      </c>
      <c r="E33" s="6" t="s">
        <v>353</v>
      </c>
      <c r="F33" s="6" t="s">
        <v>397</v>
      </c>
      <c r="G33" s="6" t="s">
        <v>432</v>
      </c>
      <c r="H33" s="6" t="s">
        <v>81</v>
      </c>
      <c r="I33" s="6" t="s">
        <v>433</v>
      </c>
      <c r="J33" s="11"/>
      <c r="K33" s="6" t="s">
        <v>384</v>
      </c>
      <c r="L33" s="6"/>
    </row>
    <row r="34" spans="1:12" s="9" customFormat="1" ht="26" x14ac:dyDescent="0.35">
      <c r="A34" s="6"/>
      <c r="B34" s="29" t="s">
        <v>19</v>
      </c>
      <c r="C34" s="57"/>
      <c r="D34" s="6" t="s">
        <v>86</v>
      </c>
      <c r="E34" s="6" t="s">
        <v>353</v>
      </c>
      <c r="F34" s="6" t="s">
        <v>434</v>
      </c>
      <c r="G34" s="6" t="s">
        <v>435</v>
      </c>
      <c r="H34" s="6" t="s">
        <v>88</v>
      </c>
      <c r="I34" s="6" t="s">
        <v>436</v>
      </c>
      <c r="J34" s="11"/>
      <c r="K34" s="6" t="s">
        <v>384</v>
      </c>
      <c r="L34" s="6"/>
    </row>
    <row r="35" spans="1:12" s="9" customFormat="1" ht="39" x14ac:dyDescent="0.35">
      <c r="A35" s="6"/>
      <c r="B35" s="29" t="s">
        <v>19</v>
      </c>
      <c r="C35" s="57"/>
      <c r="D35" s="6" t="s">
        <v>89</v>
      </c>
      <c r="E35" s="6" t="s">
        <v>353</v>
      </c>
      <c r="F35" s="6" t="s">
        <v>437</v>
      </c>
      <c r="G35" s="6" t="s">
        <v>438</v>
      </c>
      <c r="H35" s="6" t="s">
        <v>91</v>
      </c>
      <c r="I35" s="6" t="s">
        <v>90</v>
      </c>
      <c r="J35" s="11"/>
      <c r="K35" s="6" t="s">
        <v>384</v>
      </c>
      <c r="L35" s="6"/>
    </row>
    <row r="36" spans="1:12" s="9" customFormat="1" ht="91" x14ac:dyDescent="0.35">
      <c r="A36" s="6"/>
      <c r="B36" s="29" t="s">
        <v>19</v>
      </c>
      <c r="C36" s="57"/>
      <c r="D36" s="19" t="s">
        <v>439</v>
      </c>
      <c r="E36" s="6" t="s">
        <v>353</v>
      </c>
      <c r="F36" s="6"/>
      <c r="G36" s="6" t="s">
        <v>440</v>
      </c>
      <c r="H36" s="6" t="e">
        <v>#N/A</v>
      </c>
      <c r="I36" s="6" t="s">
        <v>441</v>
      </c>
      <c r="J36" s="11"/>
      <c r="K36" s="6" t="s">
        <v>384</v>
      </c>
      <c r="L36" s="6"/>
    </row>
    <row r="37" spans="1:12" ht="39" x14ac:dyDescent="0.35">
      <c r="A37" s="6"/>
      <c r="B37" s="29" t="s">
        <v>19</v>
      </c>
      <c r="C37" s="57"/>
      <c r="D37" s="49" t="s">
        <v>442</v>
      </c>
      <c r="E37" s="6" t="s">
        <v>353</v>
      </c>
      <c r="F37" s="6"/>
      <c r="G37" s="6" t="s">
        <v>443</v>
      </c>
      <c r="H37" s="6" t="e">
        <v>#N/A</v>
      </c>
      <c r="I37" s="6" t="s">
        <v>444</v>
      </c>
      <c r="J37" s="11"/>
      <c r="K37" s="6" t="s">
        <v>384</v>
      </c>
      <c r="L37" s="6"/>
    </row>
    <row r="38" spans="1:12" s="9" customFormat="1" ht="169" x14ac:dyDescent="0.35">
      <c r="A38" s="6"/>
      <c r="B38" s="7" t="s">
        <v>101</v>
      </c>
      <c r="C38" s="62" t="s">
        <v>445</v>
      </c>
      <c r="D38" s="8" t="s">
        <v>102</v>
      </c>
      <c r="E38" s="6" t="s">
        <v>353</v>
      </c>
      <c r="F38" s="8" t="s">
        <v>446</v>
      </c>
      <c r="G38" s="6" t="s">
        <v>447</v>
      </c>
      <c r="H38" s="8" t="s">
        <v>104</v>
      </c>
      <c r="I38" s="8" t="s">
        <v>448</v>
      </c>
      <c r="J38" s="11"/>
      <c r="K38" s="6" t="s">
        <v>449</v>
      </c>
      <c r="L38" s="6"/>
    </row>
    <row r="39" spans="1:12" s="9" customFormat="1" ht="169" x14ac:dyDescent="0.35">
      <c r="A39" s="6"/>
      <c r="B39" s="7" t="s">
        <v>101</v>
      </c>
      <c r="C39" s="62" t="s">
        <v>445</v>
      </c>
      <c r="D39" s="8" t="s">
        <v>105</v>
      </c>
      <c r="E39" s="6" t="s">
        <v>353</v>
      </c>
      <c r="F39" s="8" t="s">
        <v>450</v>
      </c>
      <c r="G39" s="6" t="s">
        <v>451</v>
      </c>
      <c r="H39" s="8" t="s">
        <v>107</v>
      </c>
      <c r="I39" s="8" t="s">
        <v>452</v>
      </c>
      <c r="J39" s="11"/>
      <c r="K39" s="6" t="s">
        <v>449</v>
      </c>
      <c r="L39" s="6"/>
    </row>
    <row r="40" spans="1:12" s="9" customFormat="1" ht="169" x14ac:dyDescent="0.35">
      <c r="A40" s="6"/>
      <c r="B40" s="7" t="s">
        <v>101</v>
      </c>
      <c r="C40" s="62" t="s">
        <v>445</v>
      </c>
      <c r="D40" s="8" t="s">
        <v>108</v>
      </c>
      <c r="E40" s="6" t="s">
        <v>353</v>
      </c>
      <c r="F40" s="8" t="s">
        <v>453</v>
      </c>
      <c r="G40" s="6" t="s">
        <v>454</v>
      </c>
      <c r="H40" s="8" t="s">
        <v>109</v>
      </c>
      <c r="I40" s="8" t="s">
        <v>455</v>
      </c>
      <c r="J40" s="11"/>
      <c r="K40" s="6" t="s">
        <v>449</v>
      </c>
      <c r="L40" s="6"/>
    </row>
    <row r="41" spans="1:12" s="9" customFormat="1" ht="182" x14ac:dyDescent="0.35">
      <c r="A41" s="6"/>
      <c r="B41" s="7" t="s">
        <v>101</v>
      </c>
      <c r="C41" s="62" t="s">
        <v>445</v>
      </c>
      <c r="D41" s="8" t="s">
        <v>110</v>
      </c>
      <c r="E41" s="6" t="s">
        <v>353</v>
      </c>
      <c r="F41" s="8" t="s">
        <v>456</v>
      </c>
      <c r="G41" s="6" t="s">
        <v>457</v>
      </c>
      <c r="H41" s="8" t="s">
        <v>111</v>
      </c>
      <c r="I41" s="8" t="s">
        <v>458</v>
      </c>
      <c r="J41" s="11"/>
      <c r="K41" s="6" t="s">
        <v>449</v>
      </c>
      <c r="L41" s="6"/>
    </row>
    <row r="42" spans="1:12" s="9" customFormat="1" ht="182" x14ac:dyDescent="0.35">
      <c r="A42" s="6"/>
      <c r="B42" s="7" t="s">
        <v>101</v>
      </c>
      <c r="C42" s="62" t="s">
        <v>445</v>
      </c>
      <c r="D42" s="8" t="s">
        <v>112</v>
      </c>
      <c r="E42" s="6" t="s">
        <v>353</v>
      </c>
      <c r="F42" s="8" t="s">
        <v>459</v>
      </c>
      <c r="G42" s="6" t="s">
        <v>460</v>
      </c>
      <c r="H42" s="8" t="s">
        <v>113</v>
      </c>
      <c r="I42" s="8" t="s">
        <v>461</v>
      </c>
      <c r="J42" s="11"/>
      <c r="K42" s="6" t="s">
        <v>449</v>
      </c>
      <c r="L42" s="6"/>
    </row>
    <row r="43" spans="1:12" s="9" customFormat="1" ht="169" x14ac:dyDescent="0.35">
      <c r="A43" s="6"/>
      <c r="B43" s="7" t="s">
        <v>101</v>
      </c>
      <c r="C43" s="62" t="s">
        <v>445</v>
      </c>
      <c r="D43" s="8" t="s">
        <v>114</v>
      </c>
      <c r="E43" s="6" t="s">
        <v>353</v>
      </c>
      <c r="F43" s="8" t="s">
        <v>462</v>
      </c>
      <c r="G43" s="6" t="s">
        <v>463</v>
      </c>
      <c r="H43" s="8" t="s">
        <v>115</v>
      </c>
      <c r="I43" s="8" t="s">
        <v>464</v>
      </c>
      <c r="J43" s="11"/>
      <c r="K43" s="6" t="s">
        <v>449</v>
      </c>
      <c r="L43" s="6"/>
    </row>
    <row r="44" spans="1:12" s="9" customFormat="1" ht="169" x14ac:dyDescent="0.35">
      <c r="A44" s="6"/>
      <c r="B44" s="7" t="s">
        <v>101</v>
      </c>
      <c r="C44" s="62" t="s">
        <v>445</v>
      </c>
      <c r="D44" s="8" t="s">
        <v>116</v>
      </c>
      <c r="E44" s="6" t="s">
        <v>353</v>
      </c>
      <c r="F44" s="8" t="s">
        <v>465</v>
      </c>
      <c r="G44" s="6" t="s">
        <v>466</v>
      </c>
      <c r="H44" s="8" t="s">
        <v>117</v>
      </c>
      <c r="I44" s="8" t="s">
        <v>467</v>
      </c>
      <c r="J44" s="11"/>
      <c r="K44" s="6" t="s">
        <v>449</v>
      </c>
      <c r="L44" s="6"/>
    </row>
    <row r="45" spans="1:12" s="9" customFormat="1" ht="182" x14ac:dyDescent="0.35">
      <c r="A45" s="6"/>
      <c r="B45" s="7" t="s">
        <v>101</v>
      </c>
      <c r="C45" s="62" t="s">
        <v>445</v>
      </c>
      <c r="D45" s="8" t="s">
        <v>118</v>
      </c>
      <c r="E45" s="6" t="s">
        <v>353</v>
      </c>
      <c r="F45" s="8" t="s">
        <v>468</v>
      </c>
      <c r="G45" s="6" t="s">
        <v>469</v>
      </c>
      <c r="H45" s="8" t="s">
        <v>119</v>
      </c>
      <c r="I45" s="8" t="s">
        <v>470</v>
      </c>
      <c r="J45" s="11"/>
      <c r="K45" s="6" t="s">
        <v>449</v>
      </c>
      <c r="L45" s="6"/>
    </row>
    <row r="46" spans="1:12" s="9" customFormat="1" ht="169" x14ac:dyDescent="0.35">
      <c r="A46" s="6"/>
      <c r="B46" s="7" t="s">
        <v>101</v>
      </c>
      <c r="C46" s="62" t="s">
        <v>445</v>
      </c>
      <c r="D46" s="8" t="s">
        <v>120</v>
      </c>
      <c r="E46" s="6" t="s">
        <v>353</v>
      </c>
      <c r="F46" s="8" t="s">
        <v>471</v>
      </c>
      <c r="G46" s="6" t="s">
        <v>472</v>
      </c>
      <c r="H46" s="8" t="s">
        <v>121</v>
      </c>
      <c r="I46" s="8" t="s">
        <v>473</v>
      </c>
      <c r="J46" s="11"/>
      <c r="K46" s="6" t="s">
        <v>449</v>
      </c>
      <c r="L46" s="6"/>
    </row>
    <row r="47" spans="1:12" s="9" customFormat="1" ht="221" x14ac:dyDescent="0.35">
      <c r="A47" s="6"/>
      <c r="B47" s="7" t="s">
        <v>101</v>
      </c>
      <c r="C47" s="62" t="s">
        <v>445</v>
      </c>
      <c r="D47" s="8" t="s">
        <v>474</v>
      </c>
      <c r="E47" s="6" t="s">
        <v>353</v>
      </c>
      <c r="F47" s="8" t="s">
        <v>475</v>
      </c>
      <c r="G47" s="6" t="s">
        <v>476</v>
      </c>
      <c r="H47" s="8" t="s">
        <v>123</v>
      </c>
      <c r="I47" s="8" t="s">
        <v>477</v>
      </c>
      <c r="J47" s="11"/>
      <c r="K47" s="6" t="s">
        <v>449</v>
      </c>
      <c r="L47" s="6"/>
    </row>
    <row r="48" spans="1:12" s="9" customFormat="1" ht="208" x14ac:dyDescent="0.35">
      <c r="A48" s="6"/>
      <c r="B48" s="7" t="s">
        <v>101</v>
      </c>
      <c r="C48" s="62" t="s">
        <v>445</v>
      </c>
      <c r="D48" s="8" t="s">
        <v>124</v>
      </c>
      <c r="E48" s="6" t="s">
        <v>353</v>
      </c>
      <c r="F48" s="8" t="s">
        <v>478</v>
      </c>
      <c r="G48" s="6" t="s">
        <v>479</v>
      </c>
      <c r="H48" s="8" t="s">
        <v>126</v>
      </c>
      <c r="I48" s="8" t="s">
        <v>480</v>
      </c>
      <c r="J48" s="11"/>
      <c r="K48" s="6" t="s">
        <v>449</v>
      </c>
      <c r="L48" s="6"/>
    </row>
    <row r="49" spans="1:12" s="9" customFormat="1" ht="104" x14ac:dyDescent="0.35">
      <c r="A49" s="6"/>
      <c r="B49" s="7" t="s">
        <v>101</v>
      </c>
      <c r="C49" s="62" t="s">
        <v>445</v>
      </c>
      <c r="D49" s="62" t="s">
        <v>305</v>
      </c>
      <c r="E49" s="6" t="s">
        <v>353</v>
      </c>
      <c r="F49" s="6" t="s">
        <v>481</v>
      </c>
      <c r="G49" s="6" t="s">
        <v>482</v>
      </c>
      <c r="H49" s="6" t="s">
        <v>306</v>
      </c>
      <c r="I49" s="6" t="s">
        <v>483</v>
      </c>
      <c r="J49" s="11"/>
      <c r="K49" s="6" t="s">
        <v>449</v>
      </c>
      <c r="L49" s="6"/>
    </row>
    <row r="50" spans="1:12" s="9" customFormat="1" ht="169" x14ac:dyDescent="0.35">
      <c r="A50" s="6"/>
      <c r="B50" s="7" t="s">
        <v>101</v>
      </c>
      <c r="C50" s="62" t="s">
        <v>484</v>
      </c>
      <c r="D50" s="8" t="s">
        <v>127</v>
      </c>
      <c r="E50" s="6" t="s">
        <v>353</v>
      </c>
      <c r="F50" s="8" t="s">
        <v>485</v>
      </c>
      <c r="G50" s="6" t="s">
        <v>486</v>
      </c>
      <c r="H50" s="8" t="s">
        <v>129</v>
      </c>
      <c r="I50" s="8" t="s">
        <v>487</v>
      </c>
      <c r="J50" s="11"/>
      <c r="K50" s="6" t="s">
        <v>488</v>
      </c>
      <c r="L50" s="6"/>
    </row>
    <row r="51" spans="1:12" s="9" customFormat="1" ht="117" x14ac:dyDescent="0.35">
      <c r="A51" s="6"/>
      <c r="B51" s="7" t="s">
        <v>101</v>
      </c>
      <c r="C51" s="62" t="s">
        <v>484</v>
      </c>
      <c r="D51" s="8" t="s">
        <v>130</v>
      </c>
      <c r="E51" s="6" t="s">
        <v>353</v>
      </c>
      <c r="F51" s="8" t="s">
        <v>489</v>
      </c>
      <c r="G51" s="6" t="s">
        <v>490</v>
      </c>
      <c r="H51" s="8" t="s">
        <v>132</v>
      </c>
      <c r="I51" s="8" t="s">
        <v>491</v>
      </c>
      <c r="J51" s="11"/>
      <c r="K51" s="6" t="s">
        <v>488</v>
      </c>
      <c r="L51" s="6"/>
    </row>
    <row r="52" spans="1:12" s="9" customFormat="1" ht="117" x14ac:dyDescent="0.35">
      <c r="A52" s="6"/>
      <c r="B52" s="7" t="s">
        <v>101</v>
      </c>
      <c r="C52" s="62" t="s">
        <v>484</v>
      </c>
      <c r="D52" s="8" t="s">
        <v>133</v>
      </c>
      <c r="E52" s="6" t="s">
        <v>353</v>
      </c>
      <c r="F52" s="8" t="s">
        <v>492</v>
      </c>
      <c r="G52" s="6" t="s">
        <v>493</v>
      </c>
      <c r="H52" s="8" t="s">
        <v>135</v>
      </c>
      <c r="I52" s="8" t="s">
        <v>494</v>
      </c>
      <c r="J52" s="11"/>
      <c r="K52" s="6" t="s">
        <v>488</v>
      </c>
      <c r="L52" s="6"/>
    </row>
    <row r="53" spans="1:12" s="9" customFormat="1" ht="117" x14ac:dyDescent="0.35">
      <c r="A53" s="6"/>
      <c r="B53" s="7" t="s">
        <v>101</v>
      </c>
      <c r="C53" s="62" t="s">
        <v>484</v>
      </c>
      <c r="D53" s="8" t="s">
        <v>136</v>
      </c>
      <c r="E53" s="6" t="s">
        <v>353</v>
      </c>
      <c r="F53" s="8" t="s">
        <v>495</v>
      </c>
      <c r="G53" s="6" t="s">
        <v>496</v>
      </c>
      <c r="H53" s="8" t="s">
        <v>138</v>
      </c>
      <c r="I53" s="8" t="s">
        <v>497</v>
      </c>
      <c r="J53" s="11"/>
      <c r="K53" s="6" t="s">
        <v>488</v>
      </c>
      <c r="L53" s="6"/>
    </row>
    <row r="54" spans="1:12" s="9" customFormat="1" ht="117" x14ac:dyDescent="0.35">
      <c r="A54" s="6"/>
      <c r="B54" s="7" t="s">
        <v>101</v>
      </c>
      <c r="C54" s="62" t="s">
        <v>484</v>
      </c>
      <c r="D54" s="8" t="s">
        <v>139</v>
      </c>
      <c r="E54" s="6" t="s">
        <v>353</v>
      </c>
      <c r="F54" s="8" t="s">
        <v>498</v>
      </c>
      <c r="G54" s="6" t="s">
        <v>499</v>
      </c>
      <c r="H54" s="8" t="s">
        <v>141</v>
      </c>
      <c r="I54" s="8" t="s">
        <v>500</v>
      </c>
      <c r="J54" s="11"/>
      <c r="K54" s="6" t="s">
        <v>488</v>
      </c>
      <c r="L54" s="6"/>
    </row>
    <row r="55" spans="1:12" s="9" customFormat="1" ht="117" x14ac:dyDescent="0.35">
      <c r="A55" s="6"/>
      <c r="B55" s="7" t="s">
        <v>101</v>
      </c>
      <c r="C55" s="62" t="s">
        <v>484</v>
      </c>
      <c r="D55" s="8" t="s">
        <v>142</v>
      </c>
      <c r="E55" s="6" t="s">
        <v>353</v>
      </c>
      <c r="F55" s="8" t="s">
        <v>501</v>
      </c>
      <c r="G55" s="6" t="s">
        <v>502</v>
      </c>
      <c r="H55" s="8" t="s">
        <v>144</v>
      </c>
      <c r="I55" s="8" t="s">
        <v>503</v>
      </c>
      <c r="J55" s="11"/>
      <c r="K55" s="6" t="s">
        <v>488</v>
      </c>
      <c r="L55" s="6"/>
    </row>
    <row r="56" spans="1:12" s="9" customFormat="1" ht="117" x14ac:dyDescent="0.35">
      <c r="A56" s="6"/>
      <c r="B56" s="7" t="s">
        <v>101</v>
      </c>
      <c r="C56" s="62" t="s">
        <v>484</v>
      </c>
      <c r="D56" s="8" t="s">
        <v>145</v>
      </c>
      <c r="E56" s="6" t="s">
        <v>353</v>
      </c>
      <c r="F56" s="8" t="s">
        <v>504</v>
      </c>
      <c r="G56" s="6" t="s">
        <v>505</v>
      </c>
      <c r="H56" s="8" t="s">
        <v>147</v>
      </c>
      <c r="I56" s="8" t="s">
        <v>506</v>
      </c>
      <c r="J56" s="11"/>
      <c r="K56" s="6" t="s">
        <v>488</v>
      </c>
      <c r="L56" s="6"/>
    </row>
    <row r="57" spans="1:12" s="9" customFormat="1" ht="143" x14ac:dyDescent="0.35">
      <c r="A57" s="6"/>
      <c r="B57" s="7" t="s">
        <v>101</v>
      </c>
      <c r="C57" s="62" t="s">
        <v>484</v>
      </c>
      <c r="D57" s="8" t="s">
        <v>148</v>
      </c>
      <c r="E57" s="6" t="s">
        <v>353</v>
      </c>
      <c r="F57" s="8" t="s">
        <v>507</v>
      </c>
      <c r="G57" s="6" t="s">
        <v>508</v>
      </c>
      <c r="H57" s="8" t="s">
        <v>150</v>
      </c>
      <c r="I57" s="8" t="s">
        <v>509</v>
      </c>
      <c r="J57" s="11"/>
      <c r="K57" s="6" t="s">
        <v>488</v>
      </c>
      <c r="L57" s="6"/>
    </row>
    <row r="58" spans="1:12" s="9" customFormat="1" ht="117" x14ac:dyDescent="0.35">
      <c r="A58" s="6"/>
      <c r="B58" s="7" t="s">
        <v>101</v>
      </c>
      <c r="C58" s="62" t="s">
        <v>484</v>
      </c>
      <c r="D58" s="8" t="s">
        <v>151</v>
      </c>
      <c r="E58" s="6" t="s">
        <v>353</v>
      </c>
      <c r="F58" s="8" t="s">
        <v>510</v>
      </c>
      <c r="G58" s="6" t="s">
        <v>511</v>
      </c>
      <c r="H58" s="8" t="s">
        <v>153</v>
      </c>
      <c r="I58" s="8" t="s">
        <v>512</v>
      </c>
      <c r="J58" s="11"/>
      <c r="K58" s="6" t="s">
        <v>488</v>
      </c>
      <c r="L58" s="6"/>
    </row>
    <row r="59" spans="1:12" s="9" customFormat="1" ht="130" x14ac:dyDescent="0.35">
      <c r="A59" s="6"/>
      <c r="B59" s="7" t="s">
        <v>101</v>
      </c>
      <c r="C59" s="62" t="s">
        <v>484</v>
      </c>
      <c r="D59" s="8" t="s">
        <v>154</v>
      </c>
      <c r="E59" s="6" t="s">
        <v>353</v>
      </c>
      <c r="F59" s="8" t="s">
        <v>513</v>
      </c>
      <c r="G59" s="6" t="s">
        <v>514</v>
      </c>
      <c r="H59" s="8" t="s">
        <v>156</v>
      </c>
      <c r="I59" s="8" t="s">
        <v>515</v>
      </c>
      <c r="J59" s="11"/>
      <c r="K59" s="6" t="s">
        <v>488</v>
      </c>
      <c r="L59" s="6"/>
    </row>
    <row r="60" spans="1:12" s="9" customFormat="1" ht="117" x14ac:dyDescent="0.35">
      <c r="A60" s="6"/>
      <c r="B60" s="7" t="s">
        <v>101</v>
      </c>
      <c r="C60" s="62" t="s">
        <v>484</v>
      </c>
      <c r="D60" s="8" t="s">
        <v>157</v>
      </c>
      <c r="E60" s="6" t="s">
        <v>353</v>
      </c>
      <c r="F60" s="8" t="s">
        <v>516</v>
      </c>
      <c r="G60" s="6" t="s">
        <v>517</v>
      </c>
      <c r="H60" s="8" t="s">
        <v>159</v>
      </c>
      <c r="I60" s="8" t="s">
        <v>518</v>
      </c>
      <c r="J60" s="11"/>
      <c r="K60" s="6" t="s">
        <v>488</v>
      </c>
      <c r="L60" s="6"/>
    </row>
    <row r="61" spans="1:12" s="9" customFormat="1" ht="169" x14ac:dyDescent="0.35">
      <c r="A61" s="6"/>
      <c r="B61" s="7" t="s">
        <v>101</v>
      </c>
      <c r="C61" s="62" t="s">
        <v>484</v>
      </c>
      <c r="D61" s="8" t="s">
        <v>160</v>
      </c>
      <c r="E61" s="6" t="s">
        <v>353</v>
      </c>
      <c r="F61" s="8" t="s">
        <v>519</v>
      </c>
      <c r="G61" s="6" t="s">
        <v>520</v>
      </c>
      <c r="H61" s="8" t="s">
        <v>162</v>
      </c>
      <c r="I61" s="8" t="s">
        <v>521</v>
      </c>
      <c r="J61" s="11"/>
      <c r="K61" s="6" t="s">
        <v>488</v>
      </c>
      <c r="L61" s="6"/>
    </row>
    <row r="62" spans="1:12" s="9" customFormat="1" ht="117" x14ac:dyDescent="0.35">
      <c r="A62" s="6"/>
      <c r="B62" s="7" t="s">
        <v>101</v>
      </c>
      <c r="C62" s="62" t="s">
        <v>484</v>
      </c>
      <c r="D62" s="8" t="s">
        <v>522</v>
      </c>
      <c r="E62" s="6" t="s">
        <v>353</v>
      </c>
      <c r="F62" s="8" t="s">
        <v>523</v>
      </c>
      <c r="G62" s="6" t="s">
        <v>524</v>
      </c>
      <c r="H62" s="8" t="s">
        <v>165</v>
      </c>
      <c r="I62" s="8" t="s">
        <v>525</v>
      </c>
      <c r="J62" s="11"/>
      <c r="K62" s="6" t="s">
        <v>488</v>
      </c>
      <c r="L62" s="6"/>
    </row>
    <row r="63" spans="1:12" s="9" customFormat="1" ht="117" x14ac:dyDescent="0.35">
      <c r="A63" s="6"/>
      <c r="B63" s="7" t="s">
        <v>101</v>
      </c>
      <c r="C63" s="62" t="s">
        <v>484</v>
      </c>
      <c r="D63" s="8" t="s">
        <v>526</v>
      </c>
      <c r="E63" s="6" t="s">
        <v>353</v>
      </c>
      <c r="F63" s="8" t="s">
        <v>527</v>
      </c>
      <c r="G63" s="6" t="s">
        <v>528</v>
      </c>
      <c r="H63" s="8" t="s">
        <v>168</v>
      </c>
      <c r="I63" s="8" t="s">
        <v>529</v>
      </c>
      <c r="J63" s="11"/>
      <c r="K63" s="6" t="s">
        <v>488</v>
      </c>
      <c r="L63" s="6"/>
    </row>
    <row r="64" spans="1:12" s="9" customFormat="1" ht="117" x14ac:dyDescent="0.35">
      <c r="A64" s="6"/>
      <c r="B64" s="7" t="s">
        <v>101</v>
      </c>
      <c r="C64" s="62" t="s">
        <v>484</v>
      </c>
      <c r="D64" s="8" t="s">
        <v>169</v>
      </c>
      <c r="E64" s="6" t="s">
        <v>353</v>
      </c>
      <c r="F64" s="8" t="s">
        <v>530</v>
      </c>
      <c r="G64" s="6" t="s">
        <v>531</v>
      </c>
      <c r="H64" s="8" t="s">
        <v>171</v>
      </c>
      <c r="I64" s="8" t="s">
        <v>532</v>
      </c>
      <c r="J64" s="11"/>
      <c r="K64" s="6" t="s">
        <v>488</v>
      </c>
      <c r="L64" s="6"/>
    </row>
    <row r="65" spans="1:15" s="9" customFormat="1" ht="117" x14ac:dyDescent="0.35">
      <c r="A65" s="6"/>
      <c r="B65" s="7" t="s">
        <v>101</v>
      </c>
      <c r="C65" s="62" t="s">
        <v>484</v>
      </c>
      <c r="D65" s="8" t="s">
        <v>172</v>
      </c>
      <c r="E65" s="6" t="s">
        <v>353</v>
      </c>
      <c r="F65" s="8" t="s">
        <v>533</v>
      </c>
      <c r="G65" s="6" t="s">
        <v>534</v>
      </c>
      <c r="H65" s="8" t="s">
        <v>174</v>
      </c>
      <c r="I65" s="8" t="s">
        <v>535</v>
      </c>
      <c r="J65" s="11"/>
      <c r="K65" s="6" t="s">
        <v>488</v>
      </c>
      <c r="L65" s="6"/>
    </row>
    <row r="66" spans="1:15" s="9" customFormat="1" ht="130" x14ac:dyDescent="0.35">
      <c r="A66" s="6"/>
      <c r="B66" s="7" t="s">
        <v>101</v>
      </c>
      <c r="C66" s="62" t="s">
        <v>484</v>
      </c>
      <c r="D66" s="8" t="s">
        <v>175</v>
      </c>
      <c r="E66" s="6" t="s">
        <v>353</v>
      </c>
      <c r="F66" s="8" t="s">
        <v>536</v>
      </c>
      <c r="G66" s="6" t="s">
        <v>537</v>
      </c>
      <c r="H66" s="8" t="s">
        <v>177</v>
      </c>
      <c r="I66" s="8" t="s">
        <v>538</v>
      </c>
      <c r="J66" s="11"/>
      <c r="K66" s="6" t="s">
        <v>488</v>
      </c>
      <c r="L66" s="6"/>
    </row>
    <row r="67" spans="1:15" s="9" customFormat="1" ht="169" x14ac:dyDescent="0.35">
      <c r="A67" s="6"/>
      <c r="B67" s="7" t="s">
        <v>101</v>
      </c>
      <c r="C67" s="62" t="s">
        <v>484</v>
      </c>
      <c r="D67" s="8" t="s">
        <v>178</v>
      </c>
      <c r="E67" s="6" t="s">
        <v>353</v>
      </c>
      <c r="F67" s="8" t="s">
        <v>539</v>
      </c>
      <c r="G67" s="6" t="s">
        <v>540</v>
      </c>
      <c r="H67" s="8" t="s">
        <v>180</v>
      </c>
      <c r="I67" s="8" t="s">
        <v>541</v>
      </c>
      <c r="J67" s="11"/>
      <c r="K67" s="6" t="s">
        <v>488</v>
      </c>
      <c r="L67" s="6"/>
    </row>
    <row r="68" spans="1:15" s="9" customFormat="1" ht="104" x14ac:dyDescent="0.35">
      <c r="A68" s="6"/>
      <c r="B68" s="7" t="s">
        <v>101</v>
      </c>
      <c r="C68" s="62" t="s">
        <v>484</v>
      </c>
      <c r="D68" s="62" t="s">
        <v>307</v>
      </c>
      <c r="E68" s="6" t="s">
        <v>353</v>
      </c>
      <c r="F68" s="6" t="s">
        <v>542</v>
      </c>
      <c r="G68" s="6" t="s">
        <v>543</v>
      </c>
      <c r="H68" s="6" t="s">
        <v>308</v>
      </c>
      <c r="I68" s="6" t="s">
        <v>544</v>
      </c>
      <c r="J68" s="11"/>
      <c r="K68" s="6" t="s">
        <v>488</v>
      </c>
      <c r="L68" s="6"/>
    </row>
    <row r="69" spans="1:15" s="6" customFormat="1" ht="221" x14ac:dyDescent="0.35">
      <c r="B69" s="7" t="s">
        <v>101</v>
      </c>
      <c r="C69" s="62" t="s">
        <v>545</v>
      </c>
      <c r="D69" s="8" t="s">
        <v>181</v>
      </c>
      <c r="E69" s="6" t="s">
        <v>353</v>
      </c>
      <c r="F69" s="8" t="s">
        <v>546</v>
      </c>
      <c r="G69" s="6" t="s">
        <v>547</v>
      </c>
      <c r="H69" s="8" t="s">
        <v>183</v>
      </c>
      <c r="I69" s="8" t="s">
        <v>548</v>
      </c>
      <c r="J69" s="11"/>
      <c r="K69" s="6" t="s">
        <v>549</v>
      </c>
    </row>
    <row r="70" spans="1:15" s="6" customFormat="1" ht="195" x14ac:dyDescent="0.35">
      <c r="B70" s="7" t="s">
        <v>101</v>
      </c>
      <c r="C70" s="62" t="s">
        <v>545</v>
      </c>
      <c r="D70" s="8" t="s">
        <v>184</v>
      </c>
      <c r="E70" s="6" t="s">
        <v>353</v>
      </c>
      <c r="F70" s="8" t="s">
        <v>550</v>
      </c>
      <c r="G70" s="6" t="s">
        <v>551</v>
      </c>
      <c r="H70" s="8" t="s">
        <v>186</v>
      </c>
      <c r="I70" s="8" t="s">
        <v>552</v>
      </c>
      <c r="J70" s="11"/>
      <c r="K70" s="6" t="s">
        <v>549</v>
      </c>
      <c r="O70" s="6" t="s">
        <v>553</v>
      </c>
    </row>
    <row r="71" spans="1:15" s="6" customFormat="1" ht="208" x14ac:dyDescent="0.35">
      <c r="B71" s="7" t="s">
        <v>101</v>
      </c>
      <c r="C71" s="57" t="s">
        <v>545</v>
      </c>
      <c r="D71" s="6" t="s">
        <v>309</v>
      </c>
      <c r="E71" s="6" t="s">
        <v>353</v>
      </c>
      <c r="F71" s="6" t="s">
        <v>554</v>
      </c>
      <c r="G71" s="6" t="s">
        <v>555</v>
      </c>
      <c r="H71" s="6" t="s">
        <v>310</v>
      </c>
      <c r="I71" s="6" t="s">
        <v>556</v>
      </c>
      <c r="J71" s="11"/>
      <c r="K71" s="6" t="s">
        <v>557</v>
      </c>
    </row>
    <row r="72" spans="1:15" s="9" customFormat="1" ht="117" x14ac:dyDescent="0.35">
      <c r="A72" s="6"/>
      <c r="B72" s="7" t="s">
        <v>101</v>
      </c>
      <c r="C72" s="62" t="s">
        <v>545</v>
      </c>
      <c r="D72" s="8" t="s">
        <v>311</v>
      </c>
      <c r="E72" s="6" t="s">
        <v>353</v>
      </c>
      <c r="F72" s="8" t="s">
        <v>558</v>
      </c>
      <c r="G72" s="6" t="s">
        <v>559</v>
      </c>
      <c r="H72" s="8" t="s">
        <v>312</v>
      </c>
      <c r="I72" s="8" t="s">
        <v>560</v>
      </c>
      <c r="J72" s="11"/>
      <c r="K72" s="6" t="s">
        <v>557</v>
      </c>
      <c r="L72" s="6"/>
    </row>
    <row r="73" spans="1:15" s="9" customFormat="1" ht="117" x14ac:dyDescent="0.35">
      <c r="A73" s="6"/>
      <c r="B73" s="7" t="s">
        <v>101</v>
      </c>
      <c r="C73" s="62" t="s">
        <v>545</v>
      </c>
      <c r="D73" s="8" t="s">
        <v>313</v>
      </c>
      <c r="E73" s="6" t="s">
        <v>353</v>
      </c>
      <c r="F73" s="8" t="s">
        <v>561</v>
      </c>
      <c r="G73" s="6" t="s">
        <v>562</v>
      </c>
      <c r="H73" s="8" t="s">
        <v>314</v>
      </c>
      <c r="I73" s="8" t="s">
        <v>563</v>
      </c>
      <c r="J73" s="11"/>
      <c r="K73" s="6" t="s">
        <v>557</v>
      </c>
      <c r="L73" s="6"/>
    </row>
    <row r="74" spans="1:15" s="9" customFormat="1" ht="182" x14ac:dyDescent="0.35">
      <c r="A74" s="6"/>
      <c r="B74" s="7" t="s">
        <v>101</v>
      </c>
      <c r="C74" s="62" t="s">
        <v>545</v>
      </c>
      <c r="D74" s="8" t="s">
        <v>315</v>
      </c>
      <c r="E74" s="6" t="s">
        <v>353</v>
      </c>
      <c r="F74" s="8" t="s">
        <v>564</v>
      </c>
      <c r="G74" s="8" t="s">
        <v>565</v>
      </c>
      <c r="H74" s="8" t="s">
        <v>316</v>
      </c>
      <c r="I74" s="8" t="s">
        <v>566</v>
      </c>
      <c r="J74" s="11"/>
      <c r="K74" s="6" t="s">
        <v>557</v>
      </c>
      <c r="L74" s="6"/>
    </row>
    <row r="75" spans="1:15" s="6" customFormat="1" ht="156" x14ac:dyDescent="0.35">
      <c r="B75" s="7" t="s">
        <v>101</v>
      </c>
      <c r="C75" s="57" t="s">
        <v>545</v>
      </c>
      <c r="D75" s="6" t="s">
        <v>317</v>
      </c>
      <c r="E75" s="6" t="s">
        <v>353</v>
      </c>
      <c r="F75" s="6" t="s">
        <v>567</v>
      </c>
      <c r="G75" s="6" t="s">
        <v>568</v>
      </c>
      <c r="H75" s="6" t="s">
        <v>318</v>
      </c>
      <c r="I75" s="6" t="s">
        <v>569</v>
      </c>
      <c r="J75" s="11"/>
      <c r="K75" s="6" t="s">
        <v>557</v>
      </c>
    </row>
    <row r="76" spans="1:15" s="9" customFormat="1" ht="143" x14ac:dyDescent="0.35">
      <c r="A76" s="6"/>
      <c r="B76" s="7" t="s">
        <v>101</v>
      </c>
      <c r="C76" s="62" t="s">
        <v>545</v>
      </c>
      <c r="D76" s="8" t="s">
        <v>319</v>
      </c>
      <c r="E76" s="6" t="s">
        <v>353</v>
      </c>
      <c r="F76" s="8" t="s">
        <v>570</v>
      </c>
      <c r="G76" s="6" t="s">
        <v>571</v>
      </c>
      <c r="H76" s="8" t="s">
        <v>320</v>
      </c>
      <c r="I76" s="8" t="s">
        <v>572</v>
      </c>
      <c r="J76" s="11"/>
      <c r="K76" s="6" t="s">
        <v>557</v>
      </c>
      <c r="L76" s="6"/>
    </row>
    <row r="77" spans="1:15" s="9" customFormat="1" ht="169" x14ac:dyDescent="0.35">
      <c r="A77" s="6"/>
      <c r="B77" s="7" t="s">
        <v>101</v>
      </c>
      <c r="C77" s="62" t="s">
        <v>545</v>
      </c>
      <c r="D77" s="8" t="s">
        <v>573</v>
      </c>
      <c r="E77" s="6" t="s">
        <v>353</v>
      </c>
      <c r="F77" s="8" t="s">
        <v>574</v>
      </c>
      <c r="G77" s="6" t="s">
        <v>575</v>
      </c>
      <c r="H77" s="8" t="s">
        <v>322</v>
      </c>
      <c r="I77" s="8" t="s">
        <v>576</v>
      </c>
      <c r="J77" s="11"/>
      <c r="K77" s="6" t="s">
        <v>557</v>
      </c>
      <c r="L77" s="6"/>
    </row>
    <row r="78" spans="1:15" s="9" customFormat="1" ht="156" x14ac:dyDescent="0.35">
      <c r="A78" s="6"/>
      <c r="B78" s="7" t="s">
        <v>101</v>
      </c>
      <c r="C78" s="62" t="s">
        <v>545</v>
      </c>
      <c r="D78" s="8" t="s">
        <v>323</v>
      </c>
      <c r="E78" s="6" t="s">
        <v>353</v>
      </c>
      <c r="F78" s="8" t="s">
        <v>577</v>
      </c>
      <c r="G78" s="8" t="s">
        <v>578</v>
      </c>
      <c r="H78" s="8" t="s">
        <v>324</v>
      </c>
      <c r="I78" s="8" t="s">
        <v>579</v>
      </c>
      <c r="J78" s="11"/>
      <c r="K78" s="6" t="s">
        <v>557</v>
      </c>
      <c r="L78" s="6"/>
    </row>
    <row r="79" spans="1:15" s="9" customFormat="1" ht="39" x14ac:dyDescent="0.35">
      <c r="A79" s="6"/>
      <c r="B79" s="7" t="s">
        <v>101</v>
      </c>
      <c r="C79" s="62" t="s">
        <v>545</v>
      </c>
      <c r="D79" s="34" t="s">
        <v>580</v>
      </c>
      <c r="E79" s="6" t="s">
        <v>353</v>
      </c>
      <c r="F79" s="8" t="s">
        <v>581</v>
      </c>
      <c r="G79" s="8" t="s">
        <v>582</v>
      </c>
      <c r="H79" s="8" t="e">
        <v>#N/A</v>
      </c>
      <c r="I79" s="8" t="s">
        <v>583</v>
      </c>
      <c r="J79" s="11"/>
      <c r="K79" s="6" t="s">
        <v>557</v>
      </c>
      <c r="L79" s="6"/>
    </row>
    <row r="80" spans="1:15" s="6" customFormat="1" ht="156" x14ac:dyDescent="0.35">
      <c r="B80" s="7" t="s">
        <v>101</v>
      </c>
      <c r="C80" s="57" t="s">
        <v>545</v>
      </c>
      <c r="D80" s="6" t="s">
        <v>327</v>
      </c>
      <c r="E80" s="6" t="s">
        <v>353</v>
      </c>
      <c r="F80" s="6" t="s">
        <v>584</v>
      </c>
      <c r="G80" s="6" t="s">
        <v>585</v>
      </c>
      <c r="H80" s="6" t="s">
        <v>328</v>
      </c>
      <c r="I80" s="6" t="s">
        <v>586</v>
      </c>
      <c r="J80" s="11"/>
      <c r="K80" s="6" t="s">
        <v>557</v>
      </c>
    </row>
    <row r="81" spans="1:12" s="9" customFormat="1" ht="182" x14ac:dyDescent="0.35">
      <c r="A81" s="6"/>
      <c r="B81" s="7" t="s">
        <v>101</v>
      </c>
      <c r="C81" s="62" t="s">
        <v>545</v>
      </c>
      <c r="D81" s="8" t="s">
        <v>587</v>
      </c>
      <c r="E81" s="6" t="s">
        <v>353</v>
      </c>
      <c r="F81" s="8" t="s">
        <v>588</v>
      </c>
      <c r="G81" s="8" t="s">
        <v>589</v>
      </c>
      <c r="H81" s="8" t="s">
        <v>330</v>
      </c>
      <c r="I81" s="8" t="s">
        <v>590</v>
      </c>
      <c r="J81" s="11"/>
      <c r="K81" s="6" t="s">
        <v>557</v>
      </c>
      <c r="L81" s="6"/>
    </row>
    <row r="82" spans="1:12" s="9" customFormat="1" ht="234" x14ac:dyDescent="0.35">
      <c r="A82" s="6"/>
      <c r="B82" s="7" t="s">
        <v>101</v>
      </c>
      <c r="C82" s="62" t="s">
        <v>545</v>
      </c>
      <c r="D82" s="8" t="s">
        <v>331</v>
      </c>
      <c r="E82" s="6" t="s">
        <v>353</v>
      </c>
      <c r="F82" s="8" t="s">
        <v>591</v>
      </c>
      <c r="G82" s="8" t="s">
        <v>592</v>
      </c>
      <c r="H82" s="8" t="s">
        <v>332</v>
      </c>
      <c r="I82" s="8" t="s">
        <v>593</v>
      </c>
      <c r="J82" s="11"/>
      <c r="K82" s="6" t="s">
        <v>557</v>
      </c>
      <c r="L82" s="6"/>
    </row>
    <row r="83" spans="1:12" s="6" customFormat="1" ht="39" x14ac:dyDescent="0.35">
      <c r="B83" s="7" t="s">
        <v>101</v>
      </c>
      <c r="C83" s="57" t="s">
        <v>545</v>
      </c>
      <c r="D83" s="6" t="s">
        <v>594</v>
      </c>
      <c r="E83" s="6" t="s">
        <v>353</v>
      </c>
      <c r="F83" s="6" t="s">
        <v>595</v>
      </c>
      <c r="G83" s="8" t="s">
        <v>592</v>
      </c>
      <c r="H83" s="6" t="e">
        <v>#N/A</v>
      </c>
      <c r="I83" s="6" t="s">
        <v>596</v>
      </c>
      <c r="J83" s="11"/>
      <c r="K83" s="6" t="s">
        <v>557</v>
      </c>
    </row>
    <row r="84" spans="1:12" ht="247" x14ac:dyDescent="0.35">
      <c r="A84" s="6"/>
      <c r="B84" s="7" t="s">
        <v>101</v>
      </c>
      <c r="C84" s="57" t="s">
        <v>545</v>
      </c>
      <c r="D84" s="57" t="s">
        <v>335</v>
      </c>
      <c r="E84" s="6" t="s">
        <v>353</v>
      </c>
      <c r="F84" s="6" t="s">
        <v>597</v>
      </c>
      <c r="G84" s="6" t="s">
        <v>598</v>
      </c>
      <c r="H84" s="6" t="s">
        <v>336</v>
      </c>
      <c r="I84" s="6" t="s">
        <v>599</v>
      </c>
      <c r="J84" s="11"/>
      <c r="K84" s="6" t="s">
        <v>549</v>
      </c>
      <c r="L84" s="6"/>
    </row>
    <row r="85" spans="1:12" s="9" customFormat="1" ht="156" x14ac:dyDescent="0.35">
      <c r="A85" s="6"/>
      <c r="B85" s="7" t="s">
        <v>600</v>
      </c>
      <c r="C85" s="62"/>
      <c r="D85" s="34" t="s">
        <v>229</v>
      </c>
      <c r="E85" s="6" t="s">
        <v>353</v>
      </c>
      <c r="F85" s="8" t="s">
        <v>601</v>
      </c>
      <c r="G85" s="8" t="s">
        <v>602</v>
      </c>
      <c r="H85" s="8" t="s">
        <v>231</v>
      </c>
      <c r="I85" s="8" t="s">
        <v>603</v>
      </c>
      <c r="J85" s="11"/>
      <c r="K85" s="6" t="s">
        <v>604</v>
      </c>
      <c r="L85" s="6"/>
    </row>
    <row r="86" spans="1:12" s="9" customFormat="1" ht="39" x14ac:dyDescent="0.35">
      <c r="A86" s="6"/>
      <c r="B86" s="7" t="s">
        <v>600</v>
      </c>
      <c r="C86" s="62"/>
      <c r="D86" s="8" t="s">
        <v>605</v>
      </c>
      <c r="E86" s="6" t="s">
        <v>353</v>
      </c>
      <c r="F86" s="8" t="s">
        <v>606</v>
      </c>
      <c r="G86" s="8" t="s">
        <v>607</v>
      </c>
      <c r="H86" s="8" t="e">
        <v>#N/A</v>
      </c>
      <c r="I86" s="8" t="s">
        <v>608</v>
      </c>
      <c r="J86" s="11"/>
      <c r="K86" s="6" t="s">
        <v>604</v>
      </c>
      <c r="L86" s="6"/>
    </row>
    <row r="87" spans="1:12" s="9" customFormat="1" ht="39" x14ac:dyDescent="0.35">
      <c r="A87" s="6"/>
      <c r="B87" s="7" t="s">
        <v>600</v>
      </c>
      <c r="C87" s="62"/>
      <c r="D87" s="8" t="s">
        <v>240</v>
      </c>
      <c r="E87" s="6" t="s">
        <v>353</v>
      </c>
      <c r="F87" s="8" t="s">
        <v>609</v>
      </c>
      <c r="G87" s="8" t="s">
        <v>610</v>
      </c>
      <c r="H87" s="8" t="s">
        <v>242</v>
      </c>
      <c r="I87" s="8" t="s">
        <v>611</v>
      </c>
      <c r="J87" s="11"/>
      <c r="K87" s="6" t="s">
        <v>604</v>
      </c>
      <c r="L87" s="6"/>
    </row>
    <row r="88" spans="1:12" s="6" customFormat="1" ht="26" x14ac:dyDescent="0.35">
      <c r="B88" s="7" t="s">
        <v>600</v>
      </c>
      <c r="C88" s="57"/>
      <c r="D88" s="34" t="s">
        <v>232</v>
      </c>
      <c r="E88" s="6" t="s">
        <v>353</v>
      </c>
      <c r="F88" s="8" t="s">
        <v>612</v>
      </c>
      <c r="G88" s="8"/>
      <c r="H88" s="8" t="s">
        <v>236</v>
      </c>
      <c r="I88" s="8" t="s">
        <v>613</v>
      </c>
      <c r="J88" s="11"/>
      <c r="K88" s="6" t="s">
        <v>604</v>
      </c>
    </row>
    <row r="89" spans="1:12" s="9" customFormat="1" ht="39" x14ac:dyDescent="0.35">
      <c r="A89" s="6"/>
      <c r="B89" s="7" t="s">
        <v>614</v>
      </c>
      <c r="C89" s="62"/>
      <c r="D89" s="8" t="s">
        <v>615</v>
      </c>
      <c r="E89" s="6" t="s">
        <v>353</v>
      </c>
      <c r="F89" s="8" t="s">
        <v>616</v>
      </c>
      <c r="G89" s="8"/>
      <c r="H89" s="8" t="e">
        <v>#N/A</v>
      </c>
      <c r="I89" s="8" t="s">
        <v>617</v>
      </c>
      <c r="J89" s="11"/>
      <c r="K89" s="6" t="s">
        <v>618</v>
      </c>
      <c r="L89" s="6"/>
    </row>
    <row r="90" spans="1:12" s="9" customFormat="1" ht="78" x14ac:dyDescent="0.35">
      <c r="A90" s="6"/>
      <c r="B90" s="7" t="s">
        <v>614</v>
      </c>
      <c r="C90" s="62"/>
      <c r="D90" s="8" t="s">
        <v>619</v>
      </c>
      <c r="E90" s="6" t="s">
        <v>353</v>
      </c>
      <c r="F90" s="8" t="s">
        <v>620</v>
      </c>
      <c r="G90" s="8"/>
      <c r="H90" s="8" t="e">
        <v>#N/A</v>
      </c>
      <c r="I90" s="8" t="s">
        <v>222</v>
      </c>
      <c r="J90" s="11"/>
      <c r="K90" s="6" t="s">
        <v>618</v>
      </c>
      <c r="L90" s="6"/>
    </row>
    <row r="91" spans="1:12" s="9" customFormat="1" ht="39" x14ac:dyDescent="0.35">
      <c r="A91" s="6"/>
      <c r="B91" s="7" t="s">
        <v>614</v>
      </c>
      <c r="C91" s="62"/>
      <c r="D91" s="8" t="s">
        <v>621</v>
      </c>
      <c r="E91" s="6" t="s">
        <v>353</v>
      </c>
      <c r="F91" s="8" t="s">
        <v>622</v>
      </c>
      <c r="G91" s="8"/>
      <c r="H91" s="8" t="e">
        <v>#N/A</v>
      </c>
      <c r="I91" s="8" t="s">
        <v>226</v>
      </c>
      <c r="J91" s="11"/>
      <c r="K91" s="6" t="s">
        <v>618</v>
      </c>
      <c r="L91" s="6"/>
    </row>
    <row r="92" spans="1:12" ht="91" x14ac:dyDescent="0.35">
      <c r="A92" s="6"/>
      <c r="B92" s="7" t="s">
        <v>614</v>
      </c>
      <c r="C92" s="57"/>
      <c r="D92" s="6" t="s">
        <v>297</v>
      </c>
      <c r="E92" s="6" t="s">
        <v>353</v>
      </c>
      <c r="F92" s="6" t="s">
        <v>623</v>
      </c>
      <c r="G92" s="6"/>
      <c r="H92" s="6" t="s">
        <v>298</v>
      </c>
      <c r="I92" s="6" t="s">
        <v>624</v>
      </c>
      <c r="J92" s="11"/>
      <c r="K92" s="6" t="s">
        <v>625</v>
      </c>
      <c r="L92" s="6"/>
    </row>
    <row r="93" spans="1:12" s="9" customFormat="1" ht="65" x14ac:dyDescent="0.35">
      <c r="A93" s="6"/>
      <c r="B93" s="7" t="s">
        <v>250</v>
      </c>
      <c r="C93" s="62"/>
      <c r="D93" s="8" t="s">
        <v>251</v>
      </c>
      <c r="E93" s="6" t="s">
        <v>353</v>
      </c>
      <c r="F93" s="8" t="s">
        <v>626</v>
      </c>
      <c r="G93" s="8"/>
      <c r="H93" s="8" t="s">
        <v>253</v>
      </c>
      <c r="I93" s="8" t="s">
        <v>627</v>
      </c>
      <c r="J93" s="11"/>
      <c r="K93" s="6" t="s">
        <v>628</v>
      </c>
      <c r="L93" s="6"/>
    </row>
    <row r="94" spans="1:12" s="9" customFormat="1" ht="26" x14ac:dyDescent="0.35">
      <c r="A94" s="6"/>
      <c r="B94" s="7" t="s">
        <v>250</v>
      </c>
      <c r="C94" s="62"/>
      <c r="D94" s="8" t="s">
        <v>629</v>
      </c>
      <c r="E94" s="6" t="s">
        <v>353</v>
      </c>
      <c r="F94" s="8" t="s">
        <v>630</v>
      </c>
      <c r="G94" s="8"/>
      <c r="H94" s="8" t="e">
        <v>#N/A</v>
      </c>
      <c r="I94" s="8" t="s">
        <v>631</v>
      </c>
      <c r="J94" s="11"/>
      <c r="K94" s="6" t="s">
        <v>628</v>
      </c>
      <c r="L94" s="6"/>
    </row>
    <row r="95" spans="1:12" ht="65" x14ac:dyDescent="0.35">
      <c r="A95" s="6"/>
      <c r="B95" s="7" t="s">
        <v>250</v>
      </c>
      <c r="C95" s="57"/>
      <c r="D95" s="6" t="s">
        <v>299</v>
      </c>
      <c r="E95" s="6" t="s">
        <v>353</v>
      </c>
      <c r="F95" s="8" t="s">
        <v>632</v>
      </c>
      <c r="G95" s="8"/>
      <c r="H95" s="8" t="s">
        <v>300</v>
      </c>
      <c r="I95" s="8" t="s">
        <v>633</v>
      </c>
      <c r="J95" s="11"/>
      <c r="K95" s="6" t="s">
        <v>628</v>
      </c>
      <c r="L95" s="6"/>
    </row>
    <row r="96" spans="1:12" s="9" customFormat="1" ht="52" x14ac:dyDescent="0.35">
      <c r="A96" s="6"/>
      <c r="B96" s="7" t="s">
        <v>243</v>
      </c>
      <c r="C96" s="62"/>
      <c r="D96" s="8" t="s">
        <v>244</v>
      </c>
      <c r="E96" s="6" t="s">
        <v>353</v>
      </c>
      <c r="F96" s="8" t="s">
        <v>634</v>
      </c>
      <c r="G96" s="8"/>
      <c r="H96" s="8" t="s">
        <v>246</v>
      </c>
      <c r="I96" s="8" t="s">
        <v>635</v>
      </c>
      <c r="J96" s="11"/>
      <c r="K96" s="6" t="s">
        <v>636</v>
      </c>
      <c r="L96" s="6"/>
    </row>
    <row r="97" spans="1:12" s="9" customFormat="1" ht="39" x14ac:dyDescent="0.35">
      <c r="A97" s="6"/>
      <c r="B97" s="7" t="s">
        <v>243</v>
      </c>
      <c r="C97" s="62"/>
      <c r="D97" s="8" t="s">
        <v>247</v>
      </c>
      <c r="E97" s="6" t="s">
        <v>353</v>
      </c>
      <c r="F97" s="8" t="s">
        <v>637</v>
      </c>
      <c r="G97" s="8"/>
      <c r="H97" s="8" t="s">
        <v>249</v>
      </c>
      <c r="I97" s="8" t="s">
        <v>638</v>
      </c>
      <c r="J97" s="11"/>
      <c r="K97" s="6" t="s">
        <v>636</v>
      </c>
      <c r="L97" s="6"/>
    </row>
    <row r="98" spans="1:12" s="6" customFormat="1" ht="52" x14ac:dyDescent="0.35">
      <c r="B98" s="7" t="s">
        <v>257</v>
      </c>
      <c r="C98" s="62"/>
      <c r="D98" s="34" t="s">
        <v>639</v>
      </c>
      <c r="E98" s="6" t="s">
        <v>640</v>
      </c>
      <c r="F98" s="8" t="s">
        <v>641</v>
      </c>
      <c r="G98" s="8"/>
      <c r="H98" s="8" t="e">
        <v>#N/A</v>
      </c>
      <c r="I98" s="8" t="s">
        <v>642</v>
      </c>
      <c r="J98" s="11"/>
      <c r="K98" s="6" t="s">
        <v>643</v>
      </c>
    </row>
    <row r="99" spans="1:12" s="6" customFormat="1" ht="39" x14ac:dyDescent="0.35">
      <c r="B99" s="7" t="s">
        <v>257</v>
      </c>
      <c r="C99" s="62"/>
      <c r="D99" s="34" t="s">
        <v>644</v>
      </c>
      <c r="E99" s="6" t="s">
        <v>640</v>
      </c>
      <c r="F99" s="8" t="s">
        <v>645</v>
      </c>
      <c r="G99" s="8"/>
      <c r="H99" s="8" t="e">
        <v>#N/A</v>
      </c>
      <c r="I99" s="8" t="s">
        <v>646</v>
      </c>
      <c r="J99" s="11"/>
      <c r="K99" s="6" t="s">
        <v>643</v>
      </c>
    </row>
    <row r="100" spans="1:12" s="6" customFormat="1" ht="52" x14ac:dyDescent="0.35">
      <c r="B100" s="7" t="s">
        <v>257</v>
      </c>
      <c r="C100" s="62"/>
      <c r="D100" s="34" t="s">
        <v>647</v>
      </c>
      <c r="E100" s="6" t="s">
        <v>640</v>
      </c>
      <c r="F100" s="8" t="s">
        <v>648</v>
      </c>
      <c r="G100" s="8"/>
      <c r="H100" s="8" t="e">
        <v>#N/A</v>
      </c>
      <c r="I100" s="8" t="s">
        <v>649</v>
      </c>
      <c r="J100" s="11"/>
      <c r="K100" s="6" t="s">
        <v>643</v>
      </c>
    </row>
    <row r="101" spans="1:12" s="6" customFormat="1" ht="52" x14ac:dyDescent="0.35">
      <c r="B101" s="7" t="s">
        <v>257</v>
      </c>
      <c r="C101" s="62"/>
      <c r="D101" s="34" t="s">
        <v>650</v>
      </c>
      <c r="E101" s="6" t="s">
        <v>640</v>
      </c>
      <c r="F101" s="8" t="s">
        <v>651</v>
      </c>
      <c r="G101" s="8"/>
      <c r="H101" s="8" t="e">
        <v>#N/A</v>
      </c>
      <c r="I101" s="8" t="s">
        <v>652</v>
      </c>
      <c r="J101" s="11"/>
      <c r="K101" s="6" t="s">
        <v>643</v>
      </c>
    </row>
    <row r="102" spans="1:12" s="6" customFormat="1" ht="39" x14ac:dyDescent="0.35">
      <c r="B102" s="7" t="s">
        <v>257</v>
      </c>
      <c r="C102" s="62"/>
      <c r="D102" s="8" t="s">
        <v>271</v>
      </c>
      <c r="E102" s="6" t="s">
        <v>640</v>
      </c>
      <c r="F102" s="8" t="s">
        <v>653</v>
      </c>
      <c r="G102" s="8"/>
      <c r="H102" s="8" t="s">
        <v>273</v>
      </c>
      <c r="I102" s="8" t="s">
        <v>654</v>
      </c>
      <c r="J102" s="11"/>
      <c r="K102" s="6" t="s">
        <v>643</v>
      </c>
    </row>
    <row r="103" spans="1:12" s="6" customFormat="1" ht="26" x14ac:dyDescent="0.35">
      <c r="B103" s="7" t="s">
        <v>257</v>
      </c>
      <c r="C103" s="62"/>
      <c r="D103" s="8" t="s">
        <v>274</v>
      </c>
      <c r="E103" s="6" t="s">
        <v>640</v>
      </c>
      <c r="F103" s="8" t="s">
        <v>655</v>
      </c>
      <c r="G103" s="8"/>
      <c r="H103" s="8" t="s">
        <v>276</v>
      </c>
      <c r="I103" s="8" t="s">
        <v>656</v>
      </c>
      <c r="J103" s="11"/>
      <c r="K103" s="6" t="s">
        <v>643</v>
      </c>
    </row>
    <row r="104" spans="1:12" s="6" customFormat="1" ht="52" x14ac:dyDescent="0.35">
      <c r="B104" s="7" t="s">
        <v>257</v>
      </c>
      <c r="C104" s="62"/>
      <c r="D104" s="8" t="s">
        <v>277</v>
      </c>
      <c r="E104" s="6" t="s">
        <v>640</v>
      </c>
      <c r="F104" s="8" t="s">
        <v>657</v>
      </c>
      <c r="G104" s="8"/>
      <c r="H104" s="8" t="s">
        <v>279</v>
      </c>
      <c r="I104" s="8" t="s">
        <v>658</v>
      </c>
      <c r="J104" s="11"/>
      <c r="K104" s="6" t="s">
        <v>643</v>
      </c>
    </row>
    <row r="105" spans="1:12" s="6" customFormat="1" ht="78" x14ac:dyDescent="0.35">
      <c r="B105" s="7" t="s">
        <v>257</v>
      </c>
      <c r="C105" s="62"/>
      <c r="D105" s="8" t="s">
        <v>659</v>
      </c>
      <c r="E105" s="6" t="s">
        <v>640</v>
      </c>
      <c r="F105" s="8" t="s">
        <v>660</v>
      </c>
      <c r="G105" s="8"/>
      <c r="H105" s="8" t="s">
        <v>282</v>
      </c>
      <c r="I105" s="8" t="s">
        <v>661</v>
      </c>
      <c r="J105" s="11"/>
      <c r="K105" s="6" t="s">
        <v>643</v>
      </c>
    </row>
    <row r="106" spans="1:12" s="6" customFormat="1" ht="39" x14ac:dyDescent="0.35">
      <c r="B106" s="7" t="s">
        <v>257</v>
      </c>
      <c r="C106" s="62"/>
      <c r="D106" s="8" t="s">
        <v>283</v>
      </c>
      <c r="E106" s="6" t="s">
        <v>640</v>
      </c>
      <c r="F106" s="8" t="s">
        <v>662</v>
      </c>
      <c r="G106" s="8"/>
      <c r="H106" s="8" t="s">
        <v>285</v>
      </c>
      <c r="I106" s="8" t="s">
        <v>663</v>
      </c>
      <c r="J106" s="11"/>
      <c r="K106" s="6" t="s">
        <v>643</v>
      </c>
    </row>
    <row r="107" spans="1:12" s="6" customFormat="1" ht="39" x14ac:dyDescent="0.35">
      <c r="B107" s="7" t="s">
        <v>257</v>
      </c>
      <c r="C107" s="62"/>
      <c r="D107" s="8" t="s">
        <v>286</v>
      </c>
      <c r="E107" s="6" t="s">
        <v>640</v>
      </c>
      <c r="F107" s="8" t="s">
        <v>664</v>
      </c>
      <c r="G107" s="8"/>
      <c r="H107" s="8" t="s">
        <v>288</v>
      </c>
      <c r="I107" s="8" t="s">
        <v>665</v>
      </c>
      <c r="J107" s="11"/>
      <c r="K107" s="6" t="s">
        <v>643</v>
      </c>
    </row>
    <row r="108" spans="1:12" s="6" customFormat="1" ht="52" x14ac:dyDescent="0.35">
      <c r="B108" s="7" t="s">
        <v>257</v>
      </c>
      <c r="C108" s="62"/>
      <c r="D108" s="8" t="s">
        <v>666</v>
      </c>
      <c r="E108" s="6" t="s">
        <v>640</v>
      </c>
      <c r="F108" s="8" t="s">
        <v>667</v>
      </c>
      <c r="G108" s="8"/>
      <c r="H108" s="8" t="s">
        <v>291</v>
      </c>
      <c r="I108" s="8" t="s">
        <v>668</v>
      </c>
      <c r="J108" s="11"/>
      <c r="K108" s="6" t="s">
        <v>643</v>
      </c>
    </row>
    <row r="109" spans="1:12" s="6" customFormat="1" ht="39" x14ac:dyDescent="0.35">
      <c r="B109" s="7" t="s">
        <v>257</v>
      </c>
      <c r="C109" s="62"/>
      <c r="D109" s="8" t="s">
        <v>294</v>
      </c>
      <c r="E109" s="6" t="s">
        <v>640</v>
      </c>
      <c r="F109" s="8" t="s">
        <v>669</v>
      </c>
      <c r="G109" s="8"/>
      <c r="H109" s="8" t="s">
        <v>296</v>
      </c>
      <c r="I109" s="8" t="s">
        <v>670</v>
      </c>
      <c r="J109" s="11"/>
      <c r="K109" s="6" t="s">
        <v>643</v>
      </c>
    </row>
    <row r="110" spans="1:12" ht="91" x14ac:dyDescent="0.35">
      <c r="A110" s="6"/>
      <c r="B110" s="7" t="s">
        <v>257</v>
      </c>
      <c r="C110" s="57"/>
      <c r="D110" s="6" t="s">
        <v>301</v>
      </c>
      <c r="E110" s="6" t="s">
        <v>640</v>
      </c>
      <c r="F110" s="8" t="s">
        <v>671</v>
      </c>
      <c r="G110" s="8"/>
      <c r="H110" s="8" t="s">
        <v>302</v>
      </c>
      <c r="I110" s="8" t="s">
        <v>672</v>
      </c>
      <c r="J110" s="11"/>
      <c r="K110" s="6" t="s">
        <v>643</v>
      </c>
      <c r="L110" s="6"/>
    </row>
    <row r="111" spans="1:12" ht="52" x14ac:dyDescent="0.35">
      <c r="B111" s="7" t="s">
        <v>673</v>
      </c>
      <c r="D111" s="6" t="s">
        <v>673</v>
      </c>
      <c r="E111" s="6" t="s">
        <v>359</v>
      </c>
      <c r="F111" s="8" t="s">
        <v>674</v>
      </c>
      <c r="G111" s="8"/>
      <c r="H111" s="8" t="e">
        <v>#N/A</v>
      </c>
      <c r="I111" s="8" t="e">
        <v>#N/A</v>
      </c>
      <c r="J111" s="11"/>
      <c r="K111" s="29" t="s">
        <v>675</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D0DC-2780-4C86-B01A-AF445AD76987}">
  <dimension ref="A1:H45"/>
  <sheetViews>
    <sheetView zoomScale="89" zoomScaleNormal="89" workbookViewId="0">
      <pane xSplit="4" ySplit="1" topLeftCell="F27" activePane="bottomRight" state="frozen"/>
      <selection pane="topRight" activeCell="E1" sqref="E1"/>
      <selection pane="bottomLeft" activeCell="A2" sqref="A2"/>
      <selection pane="bottomRight" activeCell="F45" sqref="F45"/>
    </sheetView>
  </sheetViews>
  <sheetFormatPr defaultRowHeight="14.5" x14ac:dyDescent="0.35"/>
  <cols>
    <col min="2" max="2" width="20.7265625" customWidth="1"/>
    <col min="3" max="3" width="19.7265625" bestFit="1" customWidth="1"/>
    <col min="4" max="4" width="22.26953125" style="96" customWidth="1"/>
    <col min="5" max="5" width="14.7265625" customWidth="1"/>
    <col min="6" max="6" width="56.81640625" customWidth="1"/>
    <col min="7" max="7" width="33.81640625" customWidth="1"/>
    <col min="8" max="8" width="17.453125" customWidth="1"/>
  </cols>
  <sheetData>
    <row r="1" spans="1:8" x14ac:dyDescent="0.35">
      <c r="A1" s="68" t="s">
        <v>0</v>
      </c>
      <c r="B1" s="98" t="s">
        <v>337</v>
      </c>
      <c r="C1" s="98" t="s">
        <v>338</v>
      </c>
      <c r="D1" s="98" t="s">
        <v>339</v>
      </c>
      <c r="E1" s="93" t="s">
        <v>340</v>
      </c>
      <c r="F1" s="99" t="s">
        <v>676</v>
      </c>
      <c r="G1" s="68" t="s">
        <v>345</v>
      </c>
      <c r="H1" s="93" t="s">
        <v>347</v>
      </c>
    </row>
    <row r="2" spans="1:8" ht="78.5" x14ac:dyDescent="0.35">
      <c r="A2" s="72">
        <v>1</v>
      </c>
      <c r="B2" s="73" t="s">
        <v>348</v>
      </c>
      <c r="C2" s="74"/>
      <c r="D2" s="100" t="s">
        <v>349</v>
      </c>
      <c r="E2" s="6" t="s">
        <v>350</v>
      </c>
      <c r="F2" s="72" t="s">
        <v>351</v>
      </c>
      <c r="G2" s="11"/>
      <c r="H2" s="72"/>
    </row>
    <row r="3" spans="1:8" ht="26" x14ac:dyDescent="0.35">
      <c r="A3" s="6">
        <v>2</v>
      </c>
      <c r="B3" s="29" t="s">
        <v>348</v>
      </c>
      <c r="C3" s="57"/>
      <c r="D3" s="19" t="s">
        <v>28</v>
      </c>
      <c r="E3" s="6" t="s">
        <v>353</v>
      </c>
      <c r="F3" s="6" t="s">
        <v>354</v>
      </c>
      <c r="G3" s="11"/>
      <c r="H3" s="6"/>
    </row>
    <row r="4" spans="1:8" ht="26" x14ac:dyDescent="0.35">
      <c r="A4" s="6">
        <v>3</v>
      </c>
      <c r="B4" s="29" t="s">
        <v>348</v>
      </c>
      <c r="C4" s="57"/>
      <c r="D4" s="19" t="s">
        <v>356</v>
      </c>
      <c r="E4" s="6" t="s">
        <v>350</v>
      </c>
      <c r="F4" s="6" t="s">
        <v>357</v>
      </c>
      <c r="G4" s="11"/>
      <c r="H4" s="6"/>
    </row>
    <row r="5" spans="1:8" x14ac:dyDescent="0.35">
      <c r="A5" s="72">
        <v>4</v>
      </c>
      <c r="B5" s="29" t="s">
        <v>348</v>
      </c>
      <c r="C5" s="29"/>
      <c r="D5" s="19" t="s">
        <v>358</v>
      </c>
      <c r="E5" s="6" t="s">
        <v>359</v>
      </c>
      <c r="F5" s="58" t="s">
        <v>360</v>
      </c>
      <c r="G5" s="11"/>
      <c r="H5" s="6"/>
    </row>
    <row r="6" spans="1:8" ht="26" x14ac:dyDescent="0.35">
      <c r="A6" s="6">
        <v>5</v>
      </c>
      <c r="B6" s="29" t="s">
        <v>348</v>
      </c>
      <c r="C6" s="57"/>
      <c r="D6" s="19" t="s">
        <v>361</v>
      </c>
      <c r="E6" s="6" t="s">
        <v>359</v>
      </c>
      <c r="F6" s="58" t="s">
        <v>362</v>
      </c>
      <c r="G6" s="11"/>
      <c r="H6" s="6"/>
    </row>
    <row r="7" spans="1:8" ht="26" x14ac:dyDescent="0.35">
      <c r="A7" s="6">
        <v>6</v>
      </c>
      <c r="B7" s="29" t="s">
        <v>348</v>
      </c>
      <c r="C7" s="57"/>
      <c r="D7" s="19" t="s">
        <v>363</v>
      </c>
      <c r="E7" s="6" t="s">
        <v>359</v>
      </c>
      <c r="F7" s="58" t="s">
        <v>364</v>
      </c>
      <c r="G7" s="11"/>
      <c r="H7" s="6"/>
    </row>
    <row r="8" spans="1:8" x14ac:dyDescent="0.35">
      <c r="A8" s="72">
        <v>7</v>
      </c>
      <c r="B8" s="29" t="s">
        <v>348</v>
      </c>
      <c r="C8" s="57"/>
      <c r="D8" s="19" t="s">
        <v>365</v>
      </c>
      <c r="E8" s="6" t="s">
        <v>350</v>
      </c>
      <c r="F8" s="6" t="s">
        <v>366</v>
      </c>
      <c r="G8" s="11"/>
      <c r="H8" s="6"/>
    </row>
    <row r="9" spans="1:8" ht="27" customHeight="1" x14ac:dyDescent="0.35">
      <c r="A9" s="6">
        <v>8</v>
      </c>
      <c r="B9" s="29" t="s">
        <v>348</v>
      </c>
      <c r="C9" s="57"/>
      <c r="D9" s="19" t="s">
        <v>367</v>
      </c>
      <c r="E9" s="6" t="s">
        <v>368</v>
      </c>
      <c r="F9" s="6" t="s">
        <v>369</v>
      </c>
      <c r="G9" s="11"/>
      <c r="H9" s="6"/>
    </row>
    <row r="10" spans="1:8" ht="169" x14ac:dyDescent="0.35">
      <c r="A10" s="6">
        <v>9</v>
      </c>
      <c r="B10" s="29" t="s">
        <v>370</v>
      </c>
      <c r="C10" s="57"/>
      <c r="D10" s="6" t="s">
        <v>370</v>
      </c>
      <c r="E10" s="6" t="s">
        <v>353</v>
      </c>
      <c r="F10" s="6" t="s">
        <v>677</v>
      </c>
      <c r="G10" s="11"/>
      <c r="H10" s="6"/>
    </row>
    <row r="11" spans="1:8" ht="182" x14ac:dyDescent="0.35">
      <c r="A11" s="72">
        <v>10</v>
      </c>
      <c r="B11" s="29" t="s">
        <v>373</v>
      </c>
      <c r="C11" s="57"/>
      <c r="D11" s="29" t="s">
        <v>373</v>
      </c>
      <c r="E11" s="6" t="s">
        <v>353</v>
      </c>
      <c r="F11" s="6" t="s">
        <v>374</v>
      </c>
      <c r="G11" s="11"/>
      <c r="H11" s="6"/>
    </row>
    <row r="12" spans="1:8" ht="195" x14ac:dyDescent="0.35">
      <c r="A12" s="6">
        <v>11</v>
      </c>
      <c r="B12" s="29" t="s">
        <v>376</v>
      </c>
      <c r="C12" s="57"/>
      <c r="D12" s="29" t="s">
        <v>376</v>
      </c>
      <c r="E12" s="6" t="s">
        <v>353</v>
      </c>
      <c r="F12" s="6" t="s">
        <v>377</v>
      </c>
      <c r="G12" s="11"/>
      <c r="H12" s="6"/>
    </row>
    <row r="13" spans="1:8" ht="130" x14ac:dyDescent="0.35">
      <c r="A13" s="6">
        <v>12</v>
      </c>
      <c r="B13" s="29" t="s">
        <v>379</v>
      </c>
      <c r="C13" s="57"/>
      <c r="D13" s="6" t="s">
        <v>379</v>
      </c>
      <c r="E13" s="6" t="s">
        <v>353</v>
      </c>
      <c r="F13" s="6" t="s">
        <v>380</v>
      </c>
      <c r="G13" s="11"/>
      <c r="H13" s="6"/>
    </row>
    <row r="14" spans="1:8" s="9" customFormat="1" ht="78" x14ac:dyDescent="0.3">
      <c r="A14" s="72">
        <v>13</v>
      </c>
      <c r="B14" s="29" t="s">
        <v>19</v>
      </c>
      <c r="C14" s="57" t="s">
        <v>303</v>
      </c>
      <c r="D14" s="22" t="s">
        <v>678</v>
      </c>
      <c r="E14" s="6" t="s">
        <v>353</v>
      </c>
      <c r="F14" s="6" t="s">
        <v>679</v>
      </c>
      <c r="G14" s="11"/>
      <c r="H14" s="6"/>
    </row>
    <row r="15" spans="1:8" s="9" customFormat="1" ht="26" x14ac:dyDescent="0.35">
      <c r="A15" s="6">
        <v>14</v>
      </c>
      <c r="B15" s="29" t="s">
        <v>19</v>
      </c>
      <c r="C15" s="57" t="s">
        <v>303</v>
      </c>
      <c r="D15" s="101" t="s">
        <v>680</v>
      </c>
      <c r="E15" s="6" t="s">
        <v>353</v>
      </c>
      <c r="F15" s="8" t="s">
        <v>681</v>
      </c>
      <c r="G15" s="11"/>
      <c r="H15" s="6"/>
    </row>
    <row r="16" spans="1:8" s="9" customFormat="1" ht="39" x14ac:dyDescent="0.35">
      <c r="A16" s="6">
        <v>15</v>
      </c>
      <c r="B16" s="29" t="s">
        <v>19</v>
      </c>
      <c r="C16" s="57" t="s">
        <v>682</v>
      </c>
      <c r="D16" s="22" t="s">
        <v>682</v>
      </c>
      <c r="E16" s="6" t="s">
        <v>353</v>
      </c>
      <c r="F16" s="8" t="s">
        <v>683</v>
      </c>
      <c r="G16" s="11"/>
      <c r="H16" s="6"/>
    </row>
    <row r="17" spans="1:8" s="9" customFormat="1" ht="26" x14ac:dyDescent="0.3">
      <c r="A17" s="72">
        <v>16</v>
      </c>
      <c r="B17" s="29" t="s">
        <v>19</v>
      </c>
      <c r="C17" s="57" t="s">
        <v>682</v>
      </c>
      <c r="D17" s="22" t="s">
        <v>684</v>
      </c>
      <c r="E17" s="6" t="s">
        <v>353</v>
      </c>
      <c r="F17" s="8" t="s">
        <v>685</v>
      </c>
      <c r="G17" s="11"/>
      <c r="H17" s="6"/>
    </row>
    <row r="18" spans="1:8" s="9" customFormat="1" ht="39" x14ac:dyDescent="0.35">
      <c r="A18" s="6">
        <v>20</v>
      </c>
      <c r="B18" s="29" t="s">
        <v>19</v>
      </c>
      <c r="C18" s="57" t="s">
        <v>686</v>
      </c>
      <c r="D18" s="22" t="s">
        <v>686</v>
      </c>
      <c r="E18" s="6" t="s">
        <v>353</v>
      </c>
      <c r="F18" s="6" t="s">
        <v>687</v>
      </c>
      <c r="G18" s="11"/>
      <c r="H18" s="6"/>
    </row>
    <row r="19" spans="1:8" s="9" customFormat="1" ht="26" x14ac:dyDescent="0.35">
      <c r="A19" s="6"/>
      <c r="B19" s="29" t="s">
        <v>19</v>
      </c>
      <c r="C19" s="57" t="s">
        <v>686</v>
      </c>
      <c r="D19" s="22" t="s">
        <v>688</v>
      </c>
      <c r="E19" s="6"/>
      <c r="F19" s="8" t="s">
        <v>689</v>
      </c>
      <c r="G19" s="11"/>
      <c r="H19" s="6"/>
    </row>
    <row r="20" spans="1:8" s="9" customFormat="1" ht="26" x14ac:dyDescent="0.35">
      <c r="A20" s="6"/>
      <c r="B20" s="29" t="s">
        <v>19</v>
      </c>
      <c r="C20" s="57"/>
      <c r="D20" s="22" t="s">
        <v>690</v>
      </c>
      <c r="E20" s="6"/>
      <c r="F20" s="8" t="s">
        <v>691</v>
      </c>
      <c r="G20" s="11"/>
      <c r="H20" s="6"/>
    </row>
    <row r="21" spans="1:8" s="9" customFormat="1" ht="78" x14ac:dyDescent="0.35">
      <c r="A21" s="6">
        <v>21</v>
      </c>
      <c r="B21" s="7" t="s">
        <v>101</v>
      </c>
      <c r="C21" s="51" t="s">
        <v>692</v>
      </c>
      <c r="D21" s="102" t="s">
        <v>692</v>
      </c>
      <c r="E21" s="6" t="s">
        <v>353</v>
      </c>
      <c r="F21" s="8" t="s">
        <v>693</v>
      </c>
      <c r="G21" s="11"/>
      <c r="H21" s="6"/>
    </row>
    <row r="22" spans="1:8" s="9" customFormat="1" ht="39" x14ac:dyDescent="0.3">
      <c r="A22" s="72">
        <v>22</v>
      </c>
      <c r="B22" s="7" t="s">
        <v>101</v>
      </c>
      <c r="C22" s="51" t="s">
        <v>692</v>
      </c>
      <c r="D22" s="102" t="s">
        <v>694</v>
      </c>
      <c r="E22" s="6" t="s">
        <v>353</v>
      </c>
      <c r="F22" s="8" t="s">
        <v>695</v>
      </c>
      <c r="G22" s="11"/>
      <c r="H22" s="6"/>
    </row>
    <row r="23" spans="1:8" s="9" customFormat="1" ht="52" x14ac:dyDescent="0.35">
      <c r="A23" s="6">
        <v>23</v>
      </c>
      <c r="B23" s="7" t="s">
        <v>101</v>
      </c>
      <c r="C23" s="57" t="s">
        <v>696</v>
      </c>
      <c r="D23" s="103" t="s">
        <v>696</v>
      </c>
      <c r="E23" s="6" t="s">
        <v>353</v>
      </c>
      <c r="F23" s="8" t="s">
        <v>697</v>
      </c>
      <c r="G23" s="11"/>
      <c r="H23" s="6"/>
    </row>
    <row r="24" spans="1:8" s="9" customFormat="1" ht="26" x14ac:dyDescent="0.35">
      <c r="A24" s="6">
        <v>24</v>
      </c>
      <c r="B24" s="7" t="s">
        <v>101</v>
      </c>
      <c r="C24" s="57" t="s">
        <v>696</v>
      </c>
      <c r="D24" s="103" t="s">
        <v>698</v>
      </c>
      <c r="E24" s="6" t="s">
        <v>353</v>
      </c>
      <c r="F24" s="8" t="s">
        <v>699</v>
      </c>
      <c r="G24" s="11"/>
      <c r="H24" s="6"/>
    </row>
    <row r="25" spans="1:8" s="9" customFormat="1" ht="52" x14ac:dyDescent="0.3">
      <c r="A25" s="72">
        <v>25</v>
      </c>
      <c r="B25" s="7" t="s">
        <v>101</v>
      </c>
      <c r="C25" s="6" t="s">
        <v>700</v>
      </c>
      <c r="D25" s="22" t="s">
        <v>700</v>
      </c>
      <c r="E25" s="6" t="s">
        <v>353</v>
      </c>
      <c r="F25" s="8" t="s">
        <v>701</v>
      </c>
      <c r="G25" s="11"/>
      <c r="H25" s="6"/>
    </row>
    <row r="26" spans="1:8" s="9" customFormat="1" ht="26" x14ac:dyDescent="0.35">
      <c r="A26" s="6">
        <v>26</v>
      </c>
      <c r="B26" s="7" t="s">
        <v>101</v>
      </c>
      <c r="C26" s="6" t="s">
        <v>700</v>
      </c>
      <c r="D26" s="22" t="s">
        <v>702</v>
      </c>
      <c r="E26" s="6" t="s">
        <v>353</v>
      </c>
      <c r="F26" s="8" t="s">
        <v>703</v>
      </c>
      <c r="G26" s="11"/>
      <c r="H26" s="6"/>
    </row>
    <row r="27" spans="1:8" s="9" customFormat="1" ht="91" x14ac:dyDescent="0.35">
      <c r="A27" s="6">
        <v>27</v>
      </c>
      <c r="B27" s="7" t="s">
        <v>101</v>
      </c>
      <c r="C27" s="6" t="s">
        <v>545</v>
      </c>
      <c r="D27" s="22" t="s">
        <v>545</v>
      </c>
      <c r="E27" s="6" t="s">
        <v>353</v>
      </c>
      <c r="F27" s="8" t="s">
        <v>704</v>
      </c>
      <c r="G27" s="11"/>
      <c r="H27" s="6"/>
    </row>
    <row r="28" spans="1:8" s="9" customFormat="1" ht="26" x14ac:dyDescent="0.3">
      <c r="A28" s="72">
        <v>28</v>
      </c>
      <c r="B28" s="7" t="s">
        <v>101</v>
      </c>
      <c r="C28" s="6" t="s">
        <v>545</v>
      </c>
      <c r="D28" s="22" t="s">
        <v>705</v>
      </c>
      <c r="E28" s="6" t="s">
        <v>353</v>
      </c>
      <c r="F28" s="8" t="s">
        <v>706</v>
      </c>
      <c r="G28" s="11"/>
      <c r="H28" s="6"/>
    </row>
    <row r="29" spans="1:8" s="9" customFormat="1" ht="52" x14ac:dyDescent="0.35">
      <c r="A29" s="6">
        <v>29</v>
      </c>
      <c r="B29" s="7" t="s">
        <v>600</v>
      </c>
      <c r="C29" s="57"/>
      <c r="D29" s="6" t="s">
        <v>707</v>
      </c>
      <c r="E29" s="6" t="s">
        <v>353</v>
      </c>
      <c r="F29" s="8" t="s">
        <v>708</v>
      </c>
      <c r="G29" s="11"/>
      <c r="H29" s="6"/>
    </row>
    <row r="30" spans="1:8" s="6" customFormat="1" ht="26" x14ac:dyDescent="0.35">
      <c r="A30" s="6">
        <v>30</v>
      </c>
      <c r="B30" s="7" t="s">
        <v>600</v>
      </c>
      <c r="C30" s="57"/>
      <c r="D30" s="49" t="s">
        <v>709</v>
      </c>
      <c r="E30" s="6" t="s">
        <v>353</v>
      </c>
      <c r="F30" s="8" t="s">
        <v>710</v>
      </c>
      <c r="G30" s="11"/>
    </row>
    <row r="31" spans="1:8" s="9" customFormat="1" ht="39" x14ac:dyDescent="0.3">
      <c r="A31" s="72">
        <v>31</v>
      </c>
      <c r="B31" s="7" t="s">
        <v>711</v>
      </c>
      <c r="C31" s="62"/>
      <c r="D31" s="7" t="s">
        <v>712</v>
      </c>
      <c r="E31" s="6" t="s">
        <v>353</v>
      </c>
      <c r="F31" s="8" t="s">
        <v>713</v>
      </c>
      <c r="G31" s="11"/>
      <c r="H31" s="6"/>
    </row>
    <row r="32" spans="1:8" s="9" customFormat="1" ht="26" x14ac:dyDescent="0.35">
      <c r="A32" s="6">
        <v>32</v>
      </c>
      <c r="B32" s="7" t="s">
        <v>711</v>
      </c>
      <c r="C32" s="62"/>
      <c r="D32" s="34" t="s">
        <v>714</v>
      </c>
      <c r="E32" s="6" t="s">
        <v>353</v>
      </c>
      <c r="F32" s="8" t="s">
        <v>715</v>
      </c>
      <c r="G32" s="11"/>
      <c r="H32" s="6"/>
    </row>
    <row r="33" spans="1:8" s="9" customFormat="1" ht="26" x14ac:dyDescent="0.35">
      <c r="A33" s="6">
        <v>33</v>
      </c>
      <c r="B33" s="34" t="s">
        <v>716</v>
      </c>
      <c r="C33" s="62"/>
      <c r="D33" s="8" t="s">
        <v>244</v>
      </c>
      <c r="E33" s="6" t="s">
        <v>353</v>
      </c>
      <c r="F33" s="8" t="s">
        <v>717</v>
      </c>
      <c r="G33" s="11"/>
      <c r="H33" s="6"/>
    </row>
    <row r="34" spans="1:8" s="9" customFormat="1" ht="26" x14ac:dyDescent="0.3">
      <c r="A34" s="72">
        <v>34</v>
      </c>
      <c r="B34" s="34" t="s">
        <v>716</v>
      </c>
      <c r="C34" s="62"/>
      <c r="D34" s="8" t="s">
        <v>718</v>
      </c>
      <c r="E34" s="6" t="s">
        <v>353</v>
      </c>
      <c r="F34" s="8" t="s">
        <v>719</v>
      </c>
      <c r="G34" s="11"/>
      <c r="H34" s="6"/>
    </row>
    <row r="35" spans="1:8" s="9" customFormat="1" ht="39" x14ac:dyDescent="0.35">
      <c r="A35" s="6">
        <v>35</v>
      </c>
      <c r="B35" s="34" t="s">
        <v>720</v>
      </c>
      <c r="C35" s="62"/>
      <c r="D35" s="8" t="s">
        <v>721</v>
      </c>
      <c r="E35" s="6" t="s">
        <v>353</v>
      </c>
      <c r="F35" s="8" t="s">
        <v>722</v>
      </c>
      <c r="G35" s="11"/>
      <c r="H35" s="6"/>
    </row>
    <row r="36" spans="1:8" s="9" customFormat="1" ht="26" x14ac:dyDescent="0.35">
      <c r="A36" s="6">
        <v>36</v>
      </c>
      <c r="B36" s="34" t="s">
        <v>720</v>
      </c>
      <c r="C36" s="62"/>
      <c r="D36" s="6" t="s">
        <v>723</v>
      </c>
      <c r="E36" s="6" t="s">
        <v>353</v>
      </c>
      <c r="F36" s="8" t="s">
        <v>724</v>
      </c>
      <c r="G36" s="11"/>
      <c r="H36" s="6"/>
    </row>
    <row r="37" spans="1:8" ht="52" x14ac:dyDescent="0.35">
      <c r="A37" s="72">
        <v>37</v>
      </c>
      <c r="B37" s="7" t="s">
        <v>725</v>
      </c>
      <c r="C37" s="57"/>
      <c r="D37" s="6" t="s">
        <v>301</v>
      </c>
      <c r="E37" s="6" t="s">
        <v>726</v>
      </c>
      <c r="F37" s="8" t="s">
        <v>727</v>
      </c>
      <c r="G37" s="11"/>
      <c r="H37" s="6"/>
    </row>
    <row r="38" spans="1:8" ht="26" x14ac:dyDescent="0.35">
      <c r="A38" s="6">
        <v>38</v>
      </c>
      <c r="B38" s="7" t="s">
        <v>725</v>
      </c>
      <c r="C38" s="57"/>
      <c r="D38" s="6" t="s">
        <v>728</v>
      </c>
      <c r="E38" s="6" t="s">
        <v>726</v>
      </c>
      <c r="F38" s="8" t="s">
        <v>729</v>
      </c>
      <c r="G38" s="11"/>
      <c r="H38" s="6"/>
    </row>
    <row r="39" spans="1:8" ht="52" x14ac:dyDescent="0.35">
      <c r="A39" s="6">
        <v>39</v>
      </c>
      <c r="B39" s="7" t="s">
        <v>673</v>
      </c>
      <c r="D39" s="6" t="s">
        <v>673</v>
      </c>
      <c r="E39" s="6" t="s">
        <v>359</v>
      </c>
      <c r="F39" s="8" t="s">
        <v>674</v>
      </c>
      <c r="G39" s="11"/>
    </row>
    <row r="45" spans="1:8" x14ac:dyDescent="0.35">
      <c r="C45" t="s">
        <v>553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DDEC-2DD3-4B66-84C6-D86809DB4FC6}">
  <dimension ref="A1"/>
  <sheetViews>
    <sheetView workbookViewId="0">
      <selection activeCell="R18" sqref="R18"/>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334-64FC-435B-9347-8E6D52F1B13A}">
  <dimension ref="A1:H129"/>
  <sheetViews>
    <sheetView showGridLines="0" tabSelected="1" zoomScale="94" zoomScaleNormal="94" workbookViewId="0">
      <pane xSplit="3" ySplit="1" topLeftCell="D112" activePane="bottomRight" state="frozen"/>
      <selection pane="topRight" activeCell="D1" sqref="D1"/>
      <selection pane="bottomLeft" activeCell="A2" sqref="A2"/>
      <selection pane="bottomRight" activeCell="E119" sqref="E119"/>
    </sheetView>
  </sheetViews>
  <sheetFormatPr defaultColWidth="23.81640625" defaultRowHeight="14.5" x14ac:dyDescent="0.35"/>
  <cols>
    <col min="1" max="1" width="4.26953125" bestFit="1" customWidth="1"/>
    <col min="2" max="2" width="9.81640625" customWidth="1"/>
    <col min="3" max="3" width="23.54296875" customWidth="1"/>
    <col min="5" max="5" width="51.1796875" customWidth="1"/>
  </cols>
  <sheetData>
    <row r="1" spans="1:8" ht="39" x14ac:dyDescent="0.35">
      <c r="A1" s="92" t="s">
        <v>0</v>
      </c>
      <c r="B1" s="92" t="s">
        <v>1</v>
      </c>
      <c r="C1" s="97" t="s">
        <v>2</v>
      </c>
      <c r="D1" s="92" t="s">
        <v>3</v>
      </c>
      <c r="E1" s="97" t="s">
        <v>4</v>
      </c>
      <c r="F1" s="92" t="s">
        <v>340</v>
      </c>
      <c r="G1" s="92" t="s">
        <v>346</v>
      </c>
      <c r="H1" s="54" t="s">
        <v>730</v>
      </c>
    </row>
    <row r="2" spans="1:8" ht="26" x14ac:dyDescent="0.35">
      <c r="A2" s="33">
        <v>1</v>
      </c>
      <c r="B2" s="29" t="s">
        <v>731</v>
      </c>
      <c r="C2" s="34" t="s">
        <v>20</v>
      </c>
      <c r="D2" s="34" t="s">
        <v>21</v>
      </c>
      <c r="E2" s="34" t="s">
        <v>22</v>
      </c>
      <c r="F2" s="51" t="s">
        <v>353</v>
      </c>
      <c r="G2" s="51" t="s">
        <v>732</v>
      </c>
      <c r="H2" s="51" t="s">
        <v>303</v>
      </c>
    </row>
    <row r="3" spans="1:8" ht="26" x14ac:dyDescent="0.35">
      <c r="A3" s="33">
        <v>2</v>
      </c>
      <c r="B3" s="29" t="s">
        <v>731</v>
      </c>
      <c r="C3" s="34" t="s">
        <v>28</v>
      </c>
      <c r="D3" s="34" t="s">
        <v>21</v>
      </c>
      <c r="E3" s="34" t="s">
        <v>355</v>
      </c>
      <c r="F3" s="51" t="s">
        <v>353</v>
      </c>
      <c r="G3" s="51" t="s">
        <v>732</v>
      </c>
      <c r="H3" s="51" t="s">
        <v>303</v>
      </c>
    </row>
    <row r="4" spans="1:8" ht="26" x14ac:dyDescent="0.35">
      <c r="A4" s="33">
        <v>3</v>
      </c>
      <c r="B4" s="29" t="s">
        <v>731</v>
      </c>
      <c r="C4" s="34" t="s">
        <v>33</v>
      </c>
      <c r="D4" s="34" t="s">
        <v>34</v>
      </c>
      <c r="E4" s="51" t="s">
        <v>733</v>
      </c>
      <c r="F4" s="51" t="s">
        <v>353</v>
      </c>
      <c r="G4" s="51" t="s">
        <v>732</v>
      </c>
      <c r="H4" s="51" t="s">
        <v>303</v>
      </c>
    </row>
    <row r="5" spans="1:8" ht="26" x14ac:dyDescent="0.35">
      <c r="A5" s="33">
        <v>4</v>
      </c>
      <c r="B5" s="29" t="s">
        <v>731</v>
      </c>
      <c r="C5" s="34" t="s">
        <v>38</v>
      </c>
      <c r="D5" s="34" t="s">
        <v>39</v>
      </c>
      <c r="E5" s="51" t="s">
        <v>390</v>
      </c>
      <c r="F5" s="51" t="s">
        <v>353</v>
      </c>
      <c r="G5" s="51" t="s">
        <v>732</v>
      </c>
      <c r="H5" s="51" t="s">
        <v>303</v>
      </c>
    </row>
    <row r="6" spans="1:8" ht="26" x14ac:dyDescent="0.35">
      <c r="A6" s="33">
        <v>8</v>
      </c>
      <c r="B6" s="29" t="s">
        <v>731</v>
      </c>
      <c r="C6" s="34" t="s">
        <v>56</v>
      </c>
      <c r="D6" s="34" t="s">
        <v>45</v>
      </c>
      <c r="E6" s="34" t="s">
        <v>409</v>
      </c>
      <c r="F6" s="51" t="s">
        <v>353</v>
      </c>
      <c r="G6" s="51" t="s">
        <v>732</v>
      </c>
      <c r="H6" s="51" t="s">
        <v>303</v>
      </c>
    </row>
    <row r="7" spans="1:8" ht="26" x14ac:dyDescent="0.35">
      <c r="A7" s="33">
        <v>9</v>
      </c>
      <c r="B7" s="29" t="s">
        <v>731</v>
      </c>
      <c r="C7" s="34" t="s">
        <v>59</v>
      </c>
      <c r="D7" s="34" t="s">
        <v>39</v>
      </c>
      <c r="E7" s="34" t="s">
        <v>60</v>
      </c>
      <c r="F7" s="51" t="s">
        <v>353</v>
      </c>
      <c r="G7" s="51" t="s">
        <v>732</v>
      </c>
      <c r="H7" s="51" t="s">
        <v>303</v>
      </c>
    </row>
    <row r="8" spans="1:8" ht="26" x14ac:dyDescent="0.35">
      <c r="A8" s="33">
        <v>10</v>
      </c>
      <c r="B8" s="29" t="s">
        <v>731</v>
      </c>
      <c r="C8" s="34" t="s">
        <v>62</v>
      </c>
      <c r="D8" s="34" t="s">
        <v>39</v>
      </c>
      <c r="E8" s="34" t="s">
        <v>1524</v>
      </c>
      <c r="F8" s="51" t="s">
        <v>353</v>
      </c>
      <c r="G8" s="51" t="s">
        <v>732</v>
      </c>
      <c r="H8" s="51" t="s">
        <v>303</v>
      </c>
    </row>
    <row r="9" spans="1:8" ht="26" x14ac:dyDescent="0.35">
      <c r="A9" s="33">
        <v>11</v>
      </c>
      <c r="B9" s="29" t="s">
        <v>731</v>
      </c>
      <c r="C9" s="34" t="s">
        <v>65</v>
      </c>
      <c r="D9" s="34" t="s">
        <v>21</v>
      </c>
      <c r="E9" s="34" t="s">
        <v>66</v>
      </c>
      <c r="F9" s="51" t="s">
        <v>353</v>
      </c>
      <c r="G9" s="51" t="s">
        <v>732</v>
      </c>
      <c r="H9" s="51" t="s">
        <v>303</v>
      </c>
    </row>
    <row r="10" spans="1:8" ht="26" x14ac:dyDescent="0.35">
      <c r="A10" s="33">
        <v>12</v>
      </c>
      <c r="B10" s="29" t="s">
        <v>731</v>
      </c>
      <c r="C10" s="6" t="s">
        <v>393</v>
      </c>
      <c r="D10" s="34" t="s">
        <v>45</v>
      </c>
      <c r="E10" s="51" t="s">
        <v>396</v>
      </c>
      <c r="F10" s="51" t="s">
        <v>353</v>
      </c>
      <c r="G10" s="51" t="s">
        <v>732</v>
      </c>
      <c r="H10" s="51" t="s">
        <v>303</v>
      </c>
    </row>
    <row r="11" spans="1:8" ht="26" x14ac:dyDescent="0.35">
      <c r="A11" s="33">
        <v>13</v>
      </c>
      <c r="B11" s="29" t="s">
        <v>731</v>
      </c>
      <c r="C11" s="34" t="s">
        <v>71</v>
      </c>
      <c r="D11" s="34" t="s">
        <v>45</v>
      </c>
      <c r="E11" s="51" t="s">
        <v>399</v>
      </c>
      <c r="F11" s="51" t="s">
        <v>353</v>
      </c>
      <c r="G11" s="51" t="s">
        <v>732</v>
      </c>
      <c r="H11" s="51" t="s">
        <v>303</v>
      </c>
    </row>
    <row r="12" spans="1:8" ht="26" x14ac:dyDescent="0.35">
      <c r="A12" s="33">
        <v>22</v>
      </c>
      <c r="B12" s="29" t="s">
        <v>731</v>
      </c>
      <c r="C12" s="51" t="s">
        <v>95</v>
      </c>
      <c r="D12" s="34" t="s">
        <v>21</v>
      </c>
      <c r="E12" s="34" t="s">
        <v>402</v>
      </c>
      <c r="F12" s="51" t="s">
        <v>353</v>
      </c>
      <c r="G12" s="51" t="s">
        <v>732</v>
      </c>
      <c r="H12" s="51" t="s">
        <v>303</v>
      </c>
    </row>
    <row r="13" spans="1:8" ht="26" x14ac:dyDescent="0.35">
      <c r="A13" s="33">
        <v>14</v>
      </c>
      <c r="B13" s="29" t="s">
        <v>731</v>
      </c>
      <c r="C13" s="6" t="s">
        <v>734</v>
      </c>
      <c r="D13" s="34" t="s">
        <v>45</v>
      </c>
      <c r="E13" s="34" t="s">
        <v>406</v>
      </c>
      <c r="F13" s="51" t="s">
        <v>353</v>
      </c>
      <c r="G13" s="51" t="s">
        <v>732</v>
      </c>
      <c r="H13" s="51" t="s">
        <v>303</v>
      </c>
    </row>
    <row r="14" spans="1:8" ht="26" x14ac:dyDescent="0.35">
      <c r="A14" s="33">
        <v>5</v>
      </c>
      <c r="B14" s="29" t="s">
        <v>731</v>
      </c>
      <c r="C14" s="34" t="s">
        <v>44</v>
      </c>
      <c r="D14" s="34" t="s">
        <v>45</v>
      </c>
      <c r="E14" s="51" t="s">
        <v>416</v>
      </c>
      <c r="F14" s="51" t="s">
        <v>353</v>
      </c>
      <c r="G14" s="51" t="s">
        <v>732</v>
      </c>
      <c r="H14" s="51" t="s">
        <v>303</v>
      </c>
    </row>
    <row r="15" spans="1:8" ht="26" x14ac:dyDescent="0.35">
      <c r="A15" s="33">
        <v>21</v>
      </c>
      <c r="B15" s="29" t="s">
        <v>731</v>
      </c>
      <c r="C15" s="34" t="s">
        <v>92</v>
      </c>
      <c r="D15" s="34" t="s">
        <v>45</v>
      </c>
      <c r="E15" s="34" t="s">
        <v>422</v>
      </c>
      <c r="F15" s="51" t="s">
        <v>353</v>
      </c>
      <c r="G15" s="51" t="s">
        <v>732</v>
      </c>
      <c r="H15" s="51" t="s">
        <v>303</v>
      </c>
    </row>
    <row r="16" spans="1:8" ht="52" x14ac:dyDescent="0.35">
      <c r="A16" s="33">
        <v>23</v>
      </c>
      <c r="B16" s="29" t="s">
        <v>731</v>
      </c>
      <c r="C16" s="34" t="s">
        <v>442</v>
      </c>
      <c r="D16" s="34" t="s">
        <v>21</v>
      </c>
      <c r="E16" s="34" t="s">
        <v>444</v>
      </c>
      <c r="F16" s="51" t="s">
        <v>353</v>
      </c>
      <c r="G16" s="51" t="s">
        <v>732</v>
      </c>
      <c r="H16" s="51" t="s">
        <v>303</v>
      </c>
    </row>
    <row r="17" spans="1:8" ht="52" x14ac:dyDescent="0.35">
      <c r="A17" s="33"/>
      <c r="B17" s="29" t="s">
        <v>731</v>
      </c>
      <c r="C17" s="34" t="s">
        <v>680</v>
      </c>
      <c r="D17" s="34" t="s">
        <v>21</v>
      </c>
      <c r="E17" s="51" t="s">
        <v>735</v>
      </c>
      <c r="F17" s="51" t="s">
        <v>353</v>
      </c>
      <c r="G17" s="51" t="s">
        <v>732</v>
      </c>
      <c r="H17" s="51" t="s">
        <v>303</v>
      </c>
    </row>
    <row r="18" spans="1:8" ht="39" x14ac:dyDescent="0.35">
      <c r="A18" s="120">
        <v>18</v>
      </c>
      <c r="B18" s="29" t="s">
        <v>736</v>
      </c>
      <c r="C18" s="91" t="s">
        <v>86</v>
      </c>
      <c r="D18" s="91" t="s">
        <v>21</v>
      </c>
      <c r="E18" s="108" t="s">
        <v>436</v>
      </c>
      <c r="F18" s="108" t="s">
        <v>353</v>
      </c>
      <c r="G18" s="108" t="s">
        <v>737</v>
      </c>
      <c r="H18" s="108" t="s">
        <v>682</v>
      </c>
    </row>
    <row r="19" spans="1:8" ht="39" x14ac:dyDescent="0.35">
      <c r="A19" s="118">
        <v>19</v>
      </c>
      <c r="B19" s="29" t="s">
        <v>736</v>
      </c>
      <c r="C19" s="49" t="s">
        <v>738</v>
      </c>
      <c r="D19" s="49" t="s">
        <v>45</v>
      </c>
      <c r="E19" s="56" t="s">
        <v>739</v>
      </c>
      <c r="F19" s="56" t="s">
        <v>353</v>
      </c>
      <c r="G19" s="56" t="s">
        <v>737</v>
      </c>
      <c r="H19" s="56" t="s">
        <v>682</v>
      </c>
    </row>
    <row r="20" spans="1:8" s="36" customFormat="1" ht="52" x14ac:dyDescent="0.35">
      <c r="A20" s="118"/>
      <c r="B20" s="29" t="s">
        <v>736</v>
      </c>
      <c r="C20" s="49" t="s">
        <v>740</v>
      </c>
      <c r="D20" s="49" t="s">
        <v>45</v>
      </c>
      <c r="E20" s="49" t="s">
        <v>741</v>
      </c>
      <c r="F20" s="56" t="s">
        <v>353</v>
      </c>
      <c r="G20" s="56" t="s">
        <v>737</v>
      </c>
      <c r="H20" s="56" t="s">
        <v>682</v>
      </c>
    </row>
    <row r="21" spans="1:8" ht="78" x14ac:dyDescent="0.35">
      <c r="A21" s="118"/>
      <c r="B21" s="29" t="s">
        <v>736</v>
      </c>
      <c r="C21" s="49" t="s">
        <v>742</v>
      </c>
      <c r="D21" s="49" t="s">
        <v>45</v>
      </c>
      <c r="E21" s="56" t="s">
        <v>743</v>
      </c>
      <c r="F21" s="56"/>
      <c r="G21" s="56" t="s">
        <v>737</v>
      </c>
      <c r="H21" s="56" t="s">
        <v>682</v>
      </c>
    </row>
    <row r="22" spans="1:8" ht="65" x14ac:dyDescent="0.35">
      <c r="A22" s="118">
        <v>20</v>
      </c>
      <c r="B22" s="29" t="s">
        <v>736</v>
      </c>
      <c r="C22" s="49" t="s">
        <v>744</v>
      </c>
      <c r="D22" s="49" t="s">
        <v>45</v>
      </c>
      <c r="E22" s="56" t="s">
        <v>745</v>
      </c>
      <c r="F22" s="56" t="s">
        <v>353</v>
      </c>
      <c r="G22" s="56" t="s">
        <v>737</v>
      </c>
      <c r="H22" s="56" t="s">
        <v>682</v>
      </c>
    </row>
    <row r="23" spans="1:8" ht="52" x14ac:dyDescent="0.35">
      <c r="A23" s="115"/>
      <c r="B23" s="29" t="s">
        <v>736</v>
      </c>
      <c r="C23" s="119" t="s">
        <v>684</v>
      </c>
      <c r="D23" s="116" t="s">
        <v>21</v>
      </c>
      <c r="E23" s="126" t="s">
        <v>746</v>
      </c>
      <c r="F23" s="117" t="s">
        <v>353</v>
      </c>
      <c r="G23" s="117" t="s">
        <v>737</v>
      </c>
      <c r="H23" s="117" t="s">
        <v>682</v>
      </c>
    </row>
    <row r="24" spans="1:8" ht="65" x14ac:dyDescent="0.35">
      <c r="A24" s="33"/>
      <c r="B24" s="29" t="s">
        <v>747</v>
      </c>
      <c r="C24" s="34" t="s">
        <v>690</v>
      </c>
      <c r="D24" s="34" t="s">
        <v>21</v>
      </c>
      <c r="E24" s="51" t="s">
        <v>748</v>
      </c>
      <c r="F24" s="51" t="s">
        <v>353</v>
      </c>
      <c r="G24" s="51" t="s">
        <v>749</v>
      </c>
      <c r="H24" s="51" t="s">
        <v>750</v>
      </c>
    </row>
    <row r="25" spans="1:8" ht="39" x14ac:dyDescent="0.35">
      <c r="A25" s="33">
        <v>6</v>
      </c>
      <c r="B25" s="29" t="s">
        <v>751</v>
      </c>
      <c r="C25" s="34" t="s">
        <v>49</v>
      </c>
      <c r="D25" s="34" t="s">
        <v>39</v>
      </c>
      <c r="E25" s="51" t="s">
        <v>752</v>
      </c>
      <c r="F25" s="51" t="s">
        <v>353</v>
      </c>
      <c r="G25" s="51" t="s">
        <v>753</v>
      </c>
      <c r="H25" s="51" t="s">
        <v>686</v>
      </c>
    </row>
    <row r="26" spans="1:8" ht="39" x14ac:dyDescent="0.35">
      <c r="A26" s="33">
        <v>17</v>
      </c>
      <c r="B26" s="29" t="s">
        <v>751</v>
      </c>
      <c r="C26" s="8" t="s">
        <v>426</v>
      </c>
      <c r="D26" s="34" t="s">
        <v>39</v>
      </c>
      <c r="E26" s="51" t="s">
        <v>754</v>
      </c>
      <c r="F26" s="51" t="s">
        <v>353</v>
      </c>
      <c r="G26" s="51" t="s">
        <v>753</v>
      </c>
      <c r="H26" s="51" t="s">
        <v>686</v>
      </c>
    </row>
    <row r="27" spans="1:8" ht="39" x14ac:dyDescent="0.35">
      <c r="A27" s="33">
        <v>81</v>
      </c>
      <c r="B27" s="7" t="s">
        <v>751</v>
      </c>
      <c r="C27" s="34" t="s">
        <v>251</v>
      </c>
      <c r="D27" s="34" t="s">
        <v>21</v>
      </c>
      <c r="E27" s="51" t="s">
        <v>627</v>
      </c>
      <c r="F27" s="51" t="s">
        <v>353</v>
      </c>
      <c r="G27" s="51" t="s">
        <v>753</v>
      </c>
      <c r="H27" s="51" t="s">
        <v>686</v>
      </c>
    </row>
    <row r="28" spans="1:8" ht="39" x14ac:dyDescent="0.35">
      <c r="A28" s="33">
        <v>82</v>
      </c>
      <c r="B28" s="7" t="s">
        <v>751</v>
      </c>
      <c r="C28" s="34" t="s">
        <v>629</v>
      </c>
      <c r="D28" s="34" t="s">
        <v>21</v>
      </c>
      <c r="E28" s="34" t="s">
        <v>631</v>
      </c>
      <c r="F28" s="51" t="s">
        <v>353</v>
      </c>
      <c r="G28" s="51" t="s">
        <v>753</v>
      </c>
      <c r="H28" s="51" t="s">
        <v>686</v>
      </c>
    </row>
    <row r="29" spans="1:8" ht="104" x14ac:dyDescent="0.35">
      <c r="A29" s="33"/>
      <c r="B29" s="7" t="s">
        <v>751</v>
      </c>
      <c r="C29" s="34" t="s">
        <v>688</v>
      </c>
      <c r="D29" s="34" t="s">
        <v>21</v>
      </c>
      <c r="E29" s="34" t="s">
        <v>755</v>
      </c>
      <c r="F29" s="51" t="s">
        <v>353</v>
      </c>
      <c r="G29" s="51" t="s">
        <v>753</v>
      </c>
      <c r="H29" s="51" t="s">
        <v>686</v>
      </c>
    </row>
    <row r="30" spans="1:8" ht="26" x14ac:dyDescent="0.35">
      <c r="A30" s="33">
        <v>24</v>
      </c>
      <c r="B30" s="104" t="s">
        <v>756</v>
      </c>
      <c r="C30" s="34" t="s">
        <v>102</v>
      </c>
      <c r="D30" s="34" t="s">
        <v>39</v>
      </c>
      <c r="E30" s="51" t="s">
        <v>757</v>
      </c>
      <c r="F30" s="51" t="s">
        <v>353</v>
      </c>
      <c r="G30" s="51" t="s">
        <v>758</v>
      </c>
      <c r="H30" s="51" t="s">
        <v>692</v>
      </c>
    </row>
    <row r="31" spans="1:8" ht="52" x14ac:dyDescent="0.35">
      <c r="A31" s="33">
        <v>34</v>
      </c>
      <c r="B31" s="104" t="s">
        <v>756</v>
      </c>
      <c r="C31" s="8" t="s">
        <v>124</v>
      </c>
      <c r="D31" s="34" t="s">
        <v>39</v>
      </c>
      <c r="E31" s="34" t="s">
        <v>759</v>
      </c>
      <c r="F31" s="51" t="s">
        <v>353</v>
      </c>
      <c r="G31" s="51" t="s">
        <v>758</v>
      </c>
      <c r="H31" s="51" t="s">
        <v>692</v>
      </c>
    </row>
    <row r="32" spans="1:8" ht="26" x14ac:dyDescent="0.35">
      <c r="A32" s="33">
        <v>25</v>
      </c>
      <c r="B32" s="104" t="s">
        <v>756</v>
      </c>
      <c r="C32" s="34" t="s">
        <v>105</v>
      </c>
      <c r="D32" s="34" t="s">
        <v>39</v>
      </c>
      <c r="E32" s="34" t="s">
        <v>760</v>
      </c>
      <c r="F32" s="51" t="s">
        <v>353</v>
      </c>
      <c r="G32" s="51" t="s">
        <v>761</v>
      </c>
      <c r="H32" s="51" t="s">
        <v>692</v>
      </c>
    </row>
    <row r="33" spans="1:8" ht="26" x14ac:dyDescent="0.35">
      <c r="A33" s="33">
        <v>26</v>
      </c>
      <c r="B33" s="104" t="s">
        <v>756</v>
      </c>
      <c r="C33" s="34" t="s">
        <v>108</v>
      </c>
      <c r="D33" s="34" t="s">
        <v>39</v>
      </c>
      <c r="E33" s="34" t="s">
        <v>762</v>
      </c>
      <c r="F33" s="51" t="s">
        <v>353</v>
      </c>
      <c r="G33" s="51" t="s">
        <v>761</v>
      </c>
      <c r="H33" s="51" t="s">
        <v>692</v>
      </c>
    </row>
    <row r="34" spans="1:8" ht="26" x14ac:dyDescent="0.35">
      <c r="A34" s="33">
        <v>27</v>
      </c>
      <c r="B34" s="104" t="s">
        <v>756</v>
      </c>
      <c r="C34" s="34" t="s">
        <v>110</v>
      </c>
      <c r="D34" s="34" t="s">
        <v>39</v>
      </c>
      <c r="E34" s="34" t="s">
        <v>763</v>
      </c>
      <c r="F34" s="51" t="s">
        <v>353</v>
      </c>
      <c r="G34" s="51" t="s">
        <v>761</v>
      </c>
      <c r="H34" s="51" t="s">
        <v>692</v>
      </c>
    </row>
    <row r="35" spans="1:8" ht="26" x14ac:dyDescent="0.35">
      <c r="A35" s="33">
        <v>28</v>
      </c>
      <c r="B35" s="104" t="s">
        <v>756</v>
      </c>
      <c r="C35" s="34" t="s">
        <v>112</v>
      </c>
      <c r="D35" s="34" t="s">
        <v>39</v>
      </c>
      <c r="E35" s="34" t="s">
        <v>764</v>
      </c>
      <c r="F35" s="51" t="s">
        <v>353</v>
      </c>
      <c r="G35" s="51" t="s">
        <v>761</v>
      </c>
      <c r="H35" s="51" t="s">
        <v>692</v>
      </c>
    </row>
    <row r="36" spans="1:8" ht="26" x14ac:dyDescent="0.35">
      <c r="A36" s="33">
        <v>29</v>
      </c>
      <c r="B36" s="104" t="s">
        <v>756</v>
      </c>
      <c r="C36" s="34" t="s">
        <v>114</v>
      </c>
      <c r="D36" s="34" t="s">
        <v>39</v>
      </c>
      <c r="E36" s="34" t="s">
        <v>765</v>
      </c>
      <c r="F36" s="51" t="s">
        <v>353</v>
      </c>
      <c r="G36" s="51" t="s">
        <v>761</v>
      </c>
      <c r="H36" s="51" t="s">
        <v>692</v>
      </c>
    </row>
    <row r="37" spans="1:8" ht="26" x14ac:dyDescent="0.35">
      <c r="A37" s="33">
        <v>30</v>
      </c>
      <c r="B37" s="104" t="s">
        <v>756</v>
      </c>
      <c r="C37" s="34" t="s">
        <v>116</v>
      </c>
      <c r="D37" s="34" t="s">
        <v>39</v>
      </c>
      <c r="E37" s="34" t="s">
        <v>766</v>
      </c>
      <c r="F37" s="51" t="s">
        <v>353</v>
      </c>
      <c r="G37" s="51" t="s">
        <v>761</v>
      </c>
      <c r="H37" s="51" t="s">
        <v>692</v>
      </c>
    </row>
    <row r="38" spans="1:8" ht="26" x14ac:dyDescent="0.35">
      <c r="A38" s="33">
        <v>31</v>
      </c>
      <c r="B38" s="104" t="s">
        <v>756</v>
      </c>
      <c r="C38" s="34" t="s">
        <v>118</v>
      </c>
      <c r="D38" s="34" t="s">
        <v>39</v>
      </c>
      <c r="E38" s="34" t="s">
        <v>767</v>
      </c>
      <c r="F38" s="51" t="s">
        <v>353</v>
      </c>
      <c r="G38" s="51" t="s">
        <v>761</v>
      </c>
      <c r="H38" s="51" t="s">
        <v>692</v>
      </c>
    </row>
    <row r="39" spans="1:8" ht="26" x14ac:dyDescent="0.35">
      <c r="A39" s="33">
        <v>32</v>
      </c>
      <c r="B39" s="104" t="s">
        <v>756</v>
      </c>
      <c r="C39" s="34" t="s">
        <v>120</v>
      </c>
      <c r="D39" s="34" t="s">
        <v>39</v>
      </c>
      <c r="E39" s="34" t="s">
        <v>768</v>
      </c>
      <c r="F39" s="51" t="s">
        <v>353</v>
      </c>
      <c r="G39" s="51" t="s">
        <v>761</v>
      </c>
      <c r="H39" s="51" t="s">
        <v>692</v>
      </c>
    </row>
    <row r="40" spans="1:8" ht="26" x14ac:dyDescent="0.35">
      <c r="A40" s="33">
        <v>33</v>
      </c>
      <c r="B40" s="104" t="s">
        <v>756</v>
      </c>
      <c r="C40" s="8" t="s">
        <v>474</v>
      </c>
      <c r="D40" s="34" t="s">
        <v>39</v>
      </c>
      <c r="E40" s="34" t="s">
        <v>769</v>
      </c>
      <c r="F40" s="51" t="s">
        <v>353</v>
      </c>
      <c r="G40" s="51" t="s">
        <v>761</v>
      </c>
      <c r="H40" s="51" t="s">
        <v>692</v>
      </c>
    </row>
    <row r="41" spans="1:8" ht="65" x14ac:dyDescent="0.35">
      <c r="A41" s="33">
        <v>53</v>
      </c>
      <c r="B41" s="104" t="s">
        <v>756</v>
      </c>
      <c r="C41" s="34" t="s">
        <v>770</v>
      </c>
      <c r="D41" s="34" t="s">
        <v>21</v>
      </c>
      <c r="E41" s="8" t="s">
        <v>771</v>
      </c>
      <c r="F41" s="51" t="s">
        <v>353</v>
      </c>
      <c r="G41" s="51" t="s">
        <v>758</v>
      </c>
      <c r="H41" s="51" t="s">
        <v>692</v>
      </c>
    </row>
    <row r="42" spans="1:8" ht="117" x14ac:dyDescent="0.35">
      <c r="A42" s="33">
        <v>54</v>
      </c>
      <c r="B42" s="104" t="s">
        <v>756</v>
      </c>
      <c r="C42" s="34" t="s">
        <v>772</v>
      </c>
      <c r="D42" s="34" t="s">
        <v>21</v>
      </c>
      <c r="E42" s="8" t="s">
        <v>773</v>
      </c>
      <c r="F42" s="51" t="s">
        <v>353</v>
      </c>
      <c r="G42" s="51" t="s">
        <v>761</v>
      </c>
      <c r="H42" s="51" t="s">
        <v>692</v>
      </c>
    </row>
    <row r="43" spans="1:8" s="36" customFormat="1" ht="52" x14ac:dyDescent="0.35">
      <c r="A43" s="33">
        <v>46</v>
      </c>
      <c r="B43" s="122" t="s">
        <v>774</v>
      </c>
      <c r="C43" s="34" t="s">
        <v>160</v>
      </c>
      <c r="D43" s="34" t="s">
        <v>39</v>
      </c>
      <c r="E43" s="34" t="s">
        <v>775</v>
      </c>
      <c r="F43" s="51" t="s">
        <v>353</v>
      </c>
      <c r="G43" s="51" t="s">
        <v>776</v>
      </c>
      <c r="H43" s="51" t="s">
        <v>696</v>
      </c>
    </row>
    <row r="44" spans="1:8" s="36" customFormat="1" ht="26" x14ac:dyDescent="0.35">
      <c r="A44" s="33">
        <v>47</v>
      </c>
      <c r="B44" s="122" t="s">
        <v>774</v>
      </c>
      <c r="C44" s="8" t="s">
        <v>522</v>
      </c>
      <c r="D44" s="34" t="s">
        <v>39</v>
      </c>
      <c r="E44" s="34" t="s">
        <v>777</v>
      </c>
      <c r="F44" s="51" t="s">
        <v>353</v>
      </c>
      <c r="G44" s="51" t="s">
        <v>776</v>
      </c>
      <c r="H44" s="51" t="s">
        <v>696</v>
      </c>
    </row>
    <row r="45" spans="1:8" s="36" customFormat="1" ht="52" x14ac:dyDescent="0.35">
      <c r="A45" s="33">
        <v>48</v>
      </c>
      <c r="B45" s="122" t="s">
        <v>774</v>
      </c>
      <c r="C45" s="8" t="s">
        <v>526</v>
      </c>
      <c r="D45" s="34" t="s">
        <v>39</v>
      </c>
      <c r="E45" s="34" t="s">
        <v>778</v>
      </c>
      <c r="F45" s="51" t="s">
        <v>353</v>
      </c>
      <c r="G45" s="51" t="s">
        <v>776</v>
      </c>
      <c r="H45" s="51" t="s">
        <v>696</v>
      </c>
    </row>
    <row r="46" spans="1:8" s="36" customFormat="1" ht="26" x14ac:dyDescent="0.35">
      <c r="A46" s="33">
        <v>49</v>
      </c>
      <c r="B46" s="122" t="s">
        <v>774</v>
      </c>
      <c r="C46" s="46" t="s">
        <v>169</v>
      </c>
      <c r="D46" s="34" t="s">
        <v>39</v>
      </c>
      <c r="E46" s="34" t="s">
        <v>779</v>
      </c>
      <c r="F46" s="51" t="s">
        <v>353</v>
      </c>
      <c r="G46" s="51" t="s">
        <v>776</v>
      </c>
      <c r="H46" s="51" t="s">
        <v>696</v>
      </c>
    </row>
    <row r="47" spans="1:8" s="36" customFormat="1" ht="26" x14ac:dyDescent="0.35">
      <c r="A47" s="33">
        <v>50</v>
      </c>
      <c r="B47" s="122" t="s">
        <v>774</v>
      </c>
      <c r="C47" s="46" t="s">
        <v>172</v>
      </c>
      <c r="D47" s="34" t="s">
        <v>39</v>
      </c>
      <c r="E47" s="51" t="s">
        <v>780</v>
      </c>
      <c r="F47" s="51" t="s">
        <v>353</v>
      </c>
      <c r="G47" s="51" t="s">
        <v>776</v>
      </c>
      <c r="H47" s="51" t="s">
        <v>696</v>
      </c>
    </row>
    <row r="48" spans="1:8" ht="39" x14ac:dyDescent="0.35">
      <c r="A48" s="33">
        <v>51</v>
      </c>
      <c r="B48" s="122" t="s">
        <v>774</v>
      </c>
      <c r="C48" s="8" t="s">
        <v>175</v>
      </c>
      <c r="D48" s="34" t="s">
        <v>39</v>
      </c>
      <c r="E48" s="51" t="s">
        <v>781</v>
      </c>
      <c r="F48" s="51" t="s">
        <v>353</v>
      </c>
      <c r="G48" s="51" t="s">
        <v>776</v>
      </c>
      <c r="H48" s="51" t="s">
        <v>696</v>
      </c>
    </row>
    <row r="49" spans="1:8" s="36" customFormat="1" ht="65" x14ac:dyDescent="0.35">
      <c r="A49" s="33">
        <v>71</v>
      </c>
      <c r="B49" s="122" t="s">
        <v>774</v>
      </c>
      <c r="C49" s="34" t="s">
        <v>698</v>
      </c>
      <c r="D49" s="34" t="s">
        <v>21</v>
      </c>
      <c r="E49" s="8" t="s">
        <v>782</v>
      </c>
      <c r="F49" s="51" t="s">
        <v>353</v>
      </c>
      <c r="G49" s="51" t="s">
        <v>776</v>
      </c>
      <c r="H49" s="51" t="s">
        <v>696</v>
      </c>
    </row>
    <row r="50" spans="1:8" s="36" customFormat="1" ht="39" x14ac:dyDescent="0.35">
      <c r="A50" s="33">
        <v>35</v>
      </c>
      <c r="B50" s="13" t="s">
        <v>783</v>
      </c>
      <c r="C50" s="34" t="s">
        <v>127</v>
      </c>
      <c r="D50" s="34" t="s">
        <v>39</v>
      </c>
      <c r="E50" s="34" t="s">
        <v>784</v>
      </c>
      <c r="F50" s="51" t="s">
        <v>353</v>
      </c>
      <c r="G50" s="51" t="s">
        <v>785</v>
      </c>
      <c r="H50" s="51" t="s">
        <v>700</v>
      </c>
    </row>
    <row r="51" spans="1:8" s="36" customFormat="1" ht="39" x14ac:dyDescent="0.35">
      <c r="A51" s="33">
        <v>36</v>
      </c>
      <c r="B51" s="13" t="s">
        <v>783</v>
      </c>
      <c r="C51" s="34" t="s">
        <v>130</v>
      </c>
      <c r="D51" s="34" t="s">
        <v>39</v>
      </c>
      <c r="E51" s="34" t="s">
        <v>786</v>
      </c>
      <c r="F51" s="51" t="s">
        <v>353</v>
      </c>
      <c r="G51" s="51" t="s">
        <v>785</v>
      </c>
      <c r="H51" s="51" t="s">
        <v>700</v>
      </c>
    </row>
    <row r="52" spans="1:8" s="36" customFormat="1" ht="52" x14ac:dyDescent="0.35">
      <c r="A52" s="33">
        <v>37</v>
      </c>
      <c r="B52" s="13" t="s">
        <v>783</v>
      </c>
      <c r="C52" s="34" t="s">
        <v>133</v>
      </c>
      <c r="D52" s="34" t="s">
        <v>39</v>
      </c>
      <c r="E52" s="34" t="s">
        <v>787</v>
      </c>
      <c r="F52" s="51" t="s">
        <v>353</v>
      </c>
      <c r="G52" s="51" t="s">
        <v>785</v>
      </c>
      <c r="H52" s="51" t="s">
        <v>700</v>
      </c>
    </row>
    <row r="53" spans="1:8" s="36" customFormat="1" ht="39" x14ac:dyDescent="0.35">
      <c r="A53" s="33">
        <v>38</v>
      </c>
      <c r="B53" s="13" t="s">
        <v>783</v>
      </c>
      <c r="C53" s="34" t="s">
        <v>136</v>
      </c>
      <c r="D53" s="34" t="s">
        <v>39</v>
      </c>
      <c r="E53" s="34" t="s">
        <v>788</v>
      </c>
      <c r="F53" s="51" t="s">
        <v>353</v>
      </c>
      <c r="G53" s="51" t="s">
        <v>785</v>
      </c>
      <c r="H53" s="51" t="s">
        <v>700</v>
      </c>
    </row>
    <row r="54" spans="1:8" s="36" customFormat="1" ht="39" x14ac:dyDescent="0.35">
      <c r="A54" s="33">
        <v>39</v>
      </c>
      <c r="B54" s="13" t="s">
        <v>783</v>
      </c>
      <c r="C54" s="46" t="s">
        <v>139</v>
      </c>
      <c r="D54" s="34" t="s">
        <v>39</v>
      </c>
      <c r="E54" s="34" t="s">
        <v>789</v>
      </c>
      <c r="F54" s="51" t="s">
        <v>353</v>
      </c>
      <c r="G54" s="51" t="s">
        <v>785</v>
      </c>
      <c r="H54" s="51" t="s">
        <v>700</v>
      </c>
    </row>
    <row r="55" spans="1:8" s="36" customFormat="1" ht="39" x14ac:dyDescent="0.35">
      <c r="A55" s="33">
        <v>40</v>
      </c>
      <c r="B55" s="8" t="s">
        <v>783</v>
      </c>
      <c r="C55" s="46" t="s">
        <v>142</v>
      </c>
      <c r="D55" s="34" t="s">
        <v>39</v>
      </c>
      <c r="E55" s="34" t="s">
        <v>790</v>
      </c>
      <c r="F55" s="51" t="s">
        <v>353</v>
      </c>
      <c r="G55" s="51" t="s">
        <v>785</v>
      </c>
      <c r="H55" s="51" t="s">
        <v>700</v>
      </c>
    </row>
    <row r="56" spans="1:8" s="36" customFormat="1" ht="39" x14ac:dyDescent="0.35">
      <c r="A56" s="33">
        <v>41</v>
      </c>
      <c r="B56" s="8" t="s">
        <v>783</v>
      </c>
      <c r="C56" s="46" t="s">
        <v>145</v>
      </c>
      <c r="D56" s="34" t="s">
        <v>39</v>
      </c>
      <c r="E56" s="34" t="s">
        <v>791</v>
      </c>
      <c r="F56" s="51" t="s">
        <v>353</v>
      </c>
      <c r="G56" s="51" t="s">
        <v>785</v>
      </c>
      <c r="H56" s="51" t="s">
        <v>700</v>
      </c>
    </row>
    <row r="57" spans="1:8" ht="39" x14ac:dyDescent="0.35">
      <c r="A57" s="33">
        <v>42</v>
      </c>
      <c r="B57" s="8" t="s">
        <v>783</v>
      </c>
      <c r="C57" s="8" t="s">
        <v>148</v>
      </c>
      <c r="D57" s="34" t="s">
        <v>39</v>
      </c>
      <c r="E57" s="51" t="s">
        <v>792</v>
      </c>
      <c r="F57" s="51" t="s">
        <v>353</v>
      </c>
      <c r="G57" s="51" t="s">
        <v>785</v>
      </c>
      <c r="H57" s="51" t="s">
        <v>700</v>
      </c>
    </row>
    <row r="58" spans="1:8" ht="39" x14ac:dyDescent="0.35">
      <c r="A58" s="33">
        <v>43</v>
      </c>
      <c r="B58" s="8" t="s">
        <v>783</v>
      </c>
      <c r="C58" s="46" t="s">
        <v>151</v>
      </c>
      <c r="D58" s="34" t="s">
        <v>39</v>
      </c>
      <c r="E58" s="34" t="s">
        <v>793</v>
      </c>
      <c r="F58" s="51" t="s">
        <v>353</v>
      </c>
      <c r="G58" s="51" t="s">
        <v>785</v>
      </c>
      <c r="H58" s="51" t="s">
        <v>700</v>
      </c>
    </row>
    <row r="59" spans="1:8" ht="39" x14ac:dyDescent="0.35">
      <c r="A59" s="33">
        <v>44</v>
      </c>
      <c r="B59" s="8" t="s">
        <v>783</v>
      </c>
      <c r="C59" s="46" t="s">
        <v>154</v>
      </c>
      <c r="D59" s="34" t="s">
        <v>39</v>
      </c>
      <c r="E59" s="34" t="s">
        <v>794</v>
      </c>
      <c r="F59" s="51" t="s">
        <v>353</v>
      </c>
      <c r="G59" s="51" t="s">
        <v>785</v>
      </c>
      <c r="H59" s="51" t="s">
        <v>700</v>
      </c>
    </row>
    <row r="60" spans="1:8" ht="39" x14ac:dyDescent="0.35">
      <c r="A60" s="33">
        <v>45</v>
      </c>
      <c r="B60" s="8" t="s">
        <v>783</v>
      </c>
      <c r="C60" s="46" t="s">
        <v>157</v>
      </c>
      <c r="D60" s="34" t="s">
        <v>39</v>
      </c>
      <c r="E60" s="34" t="s">
        <v>795</v>
      </c>
      <c r="F60" s="51" t="s">
        <v>353</v>
      </c>
      <c r="G60" s="51" t="s">
        <v>785</v>
      </c>
      <c r="H60" s="51" t="s">
        <v>700</v>
      </c>
    </row>
    <row r="61" spans="1:8" ht="39" x14ac:dyDescent="0.35">
      <c r="A61" s="33">
        <v>52</v>
      </c>
      <c r="B61" s="8" t="s">
        <v>783</v>
      </c>
      <c r="C61" s="8" t="s">
        <v>178</v>
      </c>
      <c r="D61" s="34" t="s">
        <v>39</v>
      </c>
      <c r="E61" s="34" t="s">
        <v>796</v>
      </c>
      <c r="F61" s="51" t="s">
        <v>353</v>
      </c>
      <c r="G61" s="51" t="s">
        <v>797</v>
      </c>
      <c r="H61" s="51" t="s">
        <v>700</v>
      </c>
    </row>
    <row r="62" spans="1:8" ht="104" x14ac:dyDescent="0.35">
      <c r="A62" s="33">
        <v>55</v>
      </c>
      <c r="B62" s="8" t="s">
        <v>783</v>
      </c>
      <c r="C62" s="34" t="s">
        <v>702</v>
      </c>
      <c r="D62" s="34" t="s">
        <v>21</v>
      </c>
      <c r="E62" s="8" t="s">
        <v>798</v>
      </c>
      <c r="F62" s="51" t="s">
        <v>353</v>
      </c>
      <c r="G62" s="51" t="s">
        <v>797</v>
      </c>
      <c r="H62" s="51" t="s">
        <v>700</v>
      </c>
    </row>
    <row r="63" spans="1:8" ht="78" x14ac:dyDescent="0.35">
      <c r="A63" s="33">
        <v>73</v>
      </c>
      <c r="B63" s="10" t="s">
        <v>799</v>
      </c>
      <c r="C63" s="34" t="s">
        <v>229</v>
      </c>
      <c r="D63" s="34" t="s">
        <v>21</v>
      </c>
      <c r="E63" s="34" t="s">
        <v>603</v>
      </c>
      <c r="F63" s="51" t="s">
        <v>353</v>
      </c>
      <c r="G63" s="51" t="s">
        <v>800</v>
      </c>
      <c r="H63" s="51" t="s">
        <v>707</v>
      </c>
    </row>
    <row r="64" spans="1:8" ht="26" x14ac:dyDescent="0.35">
      <c r="A64" s="33">
        <v>75</v>
      </c>
      <c r="B64" s="7" t="s">
        <v>799</v>
      </c>
      <c r="C64" s="8" t="s">
        <v>605</v>
      </c>
      <c r="D64" s="34" t="s">
        <v>21</v>
      </c>
      <c r="E64" s="51" t="s">
        <v>608</v>
      </c>
      <c r="F64" s="51" t="s">
        <v>353</v>
      </c>
      <c r="G64" s="51" t="s">
        <v>800</v>
      </c>
      <c r="H64" s="51" t="s">
        <v>707</v>
      </c>
    </row>
    <row r="65" spans="1:8" ht="26" x14ac:dyDescent="0.35">
      <c r="A65" s="33">
        <v>76</v>
      </c>
      <c r="B65" s="7" t="s">
        <v>799</v>
      </c>
      <c r="C65" s="34" t="s">
        <v>240</v>
      </c>
      <c r="D65" s="51" t="s">
        <v>21</v>
      </c>
      <c r="E65" s="34" t="s">
        <v>611</v>
      </c>
      <c r="F65" s="51" t="s">
        <v>353</v>
      </c>
      <c r="G65" s="51" t="s">
        <v>800</v>
      </c>
      <c r="H65" s="51" t="s">
        <v>707</v>
      </c>
    </row>
    <row r="66" spans="1:8" ht="39" x14ac:dyDescent="0.35">
      <c r="A66" s="33">
        <v>74</v>
      </c>
      <c r="B66" s="7" t="s">
        <v>799</v>
      </c>
      <c r="C66" s="34" t="s">
        <v>709</v>
      </c>
      <c r="D66" s="51" t="s">
        <v>21</v>
      </c>
      <c r="E66" s="51" t="s">
        <v>801</v>
      </c>
      <c r="F66" s="51" t="s">
        <v>353</v>
      </c>
      <c r="G66" s="51" t="s">
        <v>800</v>
      </c>
      <c r="H66" s="51" t="s">
        <v>707</v>
      </c>
    </row>
    <row r="67" spans="1:8" ht="39" x14ac:dyDescent="0.35">
      <c r="A67" s="33">
        <v>77</v>
      </c>
      <c r="B67" s="7" t="s">
        <v>802</v>
      </c>
      <c r="C67" s="8" t="s">
        <v>615</v>
      </c>
      <c r="D67" s="51" t="s">
        <v>21</v>
      </c>
      <c r="E67" s="51" t="s">
        <v>803</v>
      </c>
      <c r="F67" s="51" t="s">
        <v>353</v>
      </c>
      <c r="G67" s="51" t="s">
        <v>804</v>
      </c>
      <c r="H67" s="51" t="s">
        <v>712</v>
      </c>
    </row>
    <row r="68" spans="1:8" ht="78" x14ac:dyDescent="0.35">
      <c r="A68" s="33">
        <v>78</v>
      </c>
      <c r="B68" s="7" t="s">
        <v>802</v>
      </c>
      <c r="C68" s="8" t="s">
        <v>619</v>
      </c>
      <c r="D68" s="51" t="s">
        <v>21</v>
      </c>
      <c r="E68" s="51" t="s">
        <v>805</v>
      </c>
      <c r="F68" s="51" t="s">
        <v>353</v>
      </c>
      <c r="G68" s="51" t="s">
        <v>804</v>
      </c>
      <c r="H68" s="51" t="s">
        <v>712</v>
      </c>
    </row>
    <row r="69" spans="1:8" ht="52" x14ac:dyDescent="0.35">
      <c r="A69" s="33">
        <v>79</v>
      </c>
      <c r="B69" s="7" t="s">
        <v>802</v>
      </c>
      <c r="C69" s="6" t="s">
        <v>621</v>
      </c>
      <c r="D69" s="51" t="s">
        <v>21</v>
      </c>
      <c r="E69" s="84" t="s">
        <v>806</v>
      </c>
      <c r="F69" s="51" t="s">
        <v>353</v>
      </c>
      <c r="G69" s="51" t="s">
        <v>804</v>
      </c>
      <c r="H69" s="51" t="s">
        <v>712</v>
      </c>
    </row>
    <row r="70" spans="1:8" ht="91" x14ac:dyDescent="0.35">
      <c r="A70" s="33">
        <v>80</v>
      </c>
      <c r="B70" s="7" t="s">
        <v>802</v>
      </c>
      <c r="C70" s="51" t="s">
        <v>714</v>
      </c>
      <c r="D70" s="51" t="s">
        <v>21</v>
      </c>
      <c r="E70" s="51" t="s">
        <v>807</v>
      </c>
      <c r="F70" s="51" t="s">
        <v>353</v>
      </c>
      <c r="G70" s="51" t="s">
        <v>808</v>
      </c>
      <c r="H70" s="51" t="s">
        <v>712</v>
      </c>
    </row>
    <row r="71" spans="1:8" ht="52" x14ac:dyDescent="0.35">
      <c r="A71" s="33"/>
      <c r="B71" s="34" t="s">
        <v>809</v>
      </c>
      <c r="C71" s="8" t="s">
        <v>615</v>
      </c>
      <c r="D71" s="51" t="s">
        <v>21</v>
      </c>
      <c r="E71" s="51" t="s">
        <v>810</v>
      </c>
      <c r="F71" s="51" t="s">
        <v>353</v>
      </c>
      <c r="G71" s="51" t="s">
        <v>811</v>
      </c>
      <c r="H71" s="34" t="s">
        <v>812</v>
      </c>
    </row>
    <row r="72" spans="1:8" ht="91" x14ac:dyDescent="0.35">
      <c r="A72" s="33"/>
      <c r="B72" s="34" t="s">
        <v>809</v>
      </c>
      <c r="C72" s="8" t="s">
        <v>619</v>
      </c>
      <c r="D72" s="51" t="s">
        <v>21</v>
      </c>
      <c r="E72" s="51" t="s">
        <v>813</v>
      </c>
      <c r="F72" s="51" t="s">
        <v>353</v>
      </c>
      <c r="G72" s="51" t="s">
        <v>811</v>
      </c>
      <c r="H72" s="34" t="s">
        <v>812</v>
      </c>
    </row>
    <row r="73" spans="1:8" ht="52" x14ac:dyDescent="0.35">
      <c r="A73" s="33"/>
      <c r="B73" s="34" t="s">
        <v>809</v>
      </c>
      <c r="C73" s="6" t="s">
        <v>621</v>
      </c>
      <c r="D73" s="51" t="s">
        <v>21</v>
      </c>
      <c r="E73" s="84" t="s">
        <v>814</v>
      </c>
      <c r="F73" s="51" t="s">
        <v>353</v>
      </c>
      <c r="G73" s="51" t="s">
        <v>811</v>
      </c>
      <c r="H73" s="34" t="s">
        <v>812</v>
      </c>
    </row>
    <row r="74" spans="1:8" ht="78" x14ac:dyDescent="0.35">
      <c r="A74" s="33"/>
      <c r="B74" s="34" t="s">
        <v>809</v>
      </c>
      <c r="C74" s="51" t="s">
        <v>815</v>
      </c>
      <c r="D74" s="51" t="s">
        <v>21</v>
      </c>
      <c r="E74" s="51" t="s">
        <v>816</v>
      </c>
      <c r="F74" s="51" t="s">
        <v>353</v>
      </c>
      <c r="G74" s="51" t="s">
        <v>817</v>
      </c>
      <c r="H74" s="34" t="s">
        <v>812</v>
      </c>
    </row>
    <row r="75" spans="1:8" ht="26" x14ac:dyDescent="0.35">
      <c r="A75" s="33"/>
      <c r="B75" s="51" t="s">
        <v>818</v>
      </c>
      <c r="C75" s="34" t="s">
        <v>819</v>
      </c>
      <c r="D75" s="34" t="s">
        <v>39</v>
      </c>
      <c r="E75" s="34" t="s">
        <v>820</v>
      </c>
      <c r="F75" s="51" t="s">
        <v>353</v>
      </c>
      <c r="G75" s="51" t="s">
        <v>636</v>
      </c>
      <c r="H75" s="51" t="s">
        <v>821</v>
      </c>
    </row>
    <row r="76" spans="1:8" ht="39" x14ac:dyDescent="0.35">
      <c r="A76" s="33">
        <v>15</v>
      </c>
      <c r="B76" s="51" t="s">
        <v>818</v>
      </c>
      <c r="C76" s="34" t="s">
        <v>76</v>
      </c>
      <c r="D76" s="34" t="s">
        <v>45</v>
      </c>
      <c r="E76" s="34" t="s">
        <v>431</v>
      </c>
      <c r="F76" s="51" t="s">
        <v>353</v>
      </c>
      <c r="G76" s="51" t="s">
        <v>636</v>
      </c>
      <c r="H76" s="51" t="s">
        <v>821</v>
      </c>
    </row>
    <row r="77" spans="1:8" ht="26" x14ac:dyDescent="0.35">
      <c r="A77" s="33">
        <v>16</v>
      </c>
      <c r="B77" s="51" t="s">
        <v>818</v>
      </c>
      <c r="C77" s="34" t="s">
        <v>79</v>
      </c>
      <c r="D77" s="34" t="s">
        <v>45</v>
      </c>
      <c r="E77" s="51" t="s">
        <v>433</v>
      </c>
      <c r="F77" s="51" t="s">
        <v>353</v>
      </c>
      <c r="G77" s="51" t="s">
        <v>636</v>
      </c>
      <c r="H77" s="51" t="s">
        <v>821</v>
      </c>
    </row>
    <row r="78" spans="1:8" ht="26" x14ac:dyDescent="0.35">
      <c r="A78" s="33"/>
      <c r="B78" s="51" t="s">
        <v>818</v>
      </c>
      <c r="C78" s="34" t="s">
        <v>822</v>
      </c>
      <c r="D78" s="34" t="s">
        <v>45</v>
      </c>
      <c r="E78" s="51" t="s">
        <v>823</v>
      </c>
      <c r="F78" s="51" t="s">
        <v>353</v>
      </c>
      <c r="G78" s="51" t="s">
        <v>636</v>
      </c>
      <c r="H78" s="51" t="s">
        <v>821</v>
      </c>
    </row>
    <row r="79" spans="1:8" ht="26" x14ac:dyDescent="0.35">
      <c r="A79" s="33"/>
      <c r="B79" s="51" t="s">
        <v>818</v>
      </c>
      <c r="C79" s="34" t="s">
        <v>824</v>
      </c>
      <c r="D79" s="34" t="s">
        <v>39</v>
      </c>
      <c r="E79" s="34" t="s">
        <v>825</v>
      </c>
      <c r="F79" s="51" t="s">
        <v>353</v>
      </c>
      <c r="G79" s="51" t="s">
        <v>636</v>
      </c>
      <c r="H79" s="51" t="s">
        <v>821</v>
      </c>
    </row>
    <row r="80" spans="1:8" ht="26" x14ac:dyDescent="0.35">
      <c r="A80" s="33"/>
      <c r="B80" s="51" t="s">
        <v>818</v>
      </c>
      <c r="C80" s="34" t="s">
        <v>826</v>
      </c>
      <c r="D80" s="34" t="s">
        <v>21</v>
      </c>
      <c r="E80" s="34" t="s">
        <v>827</v>
      </c>
      <c r="F80" s="51" t="s">
        <v>353</v>
      </c>
      <c r="G80" s="51" t="s">
        <v>636</v>
      </c>
      <c r="H80" s="51" t="s">
        <v>821</v>
      </c>
    </row>
    <row r="81" spans="1:8" ht="26" x14ac:dyDescent="0.35">
      <c r="A81" s="33"/>
      <c r="B81" s="51" t="s">
        <v>818</v>
      </c>
      <c r="C81" s="34" t="s">
        <v>828</v>
      </c>
      <c r="D81" s="34" t="s">
        <v>45</v>
      </c>
      <c r="E81" s="34" t="s">
        <v>829</v>
      </c>
      <c r="F81" s="51" t="s">
        <v>353</v>
      </c>
      <c r="G81" s="51" t="s">
        <v>636</v>
      </c>
      <c r="H81" s="51" t="s">
        <v>821</v>
      </c>
    </row>
    <row r="82" spans="1:8" ht="26" x14ac:dyDescent="0.35">
      <c r="A82" s="33"/>
      <c r="B82" s="51" t="s">
        <v>818</v>
      </c>
      <c r="C82" s="51" t="s">
        <v>830</v>
      </c>
      <c r="D82" s="34" t="s">
        <v>21</v>
      </c>
      <c r="E82" s="34" t="s">
        <v>831</v>
      </c>
      <c r="F82" s="51" t="s">
        <v>353</v>
      </c>
      <c r="G82" s="51" t="s">
        <v>636</v>
      </c>
      <c r="H82" s="51" t="s">
        <v>821</v>
      </c>
    </row>
    <row r="83" spans="1:8" ht="117" x14ac:dyDescent="0.35">
      <c r="A83" s="33">
        <v>85</v>
      </c>
      <c r="B83" s="51" t="s">
        <v>818</v>
      </c>
      <c r="C83" s="8" t="s">
        <v>718</v>
      </c>
      <c r="D83" s="34" t="s">
        <v>21</v>
      </c>
      <c r="E83" s="34" t="s">
        <v>832</v>
      </c>
      <c r="F83" s="51" t="s">
        <v>353</v>
      </c>
      <c r="G83" s="51" t="s">
        <v>636</v>
      </c>
      <c r="H83" s="51" t="s">
        <v>821</v>
      </c>
    </row>
    <row r="84" spans="1:8" ht="39" x14ac:dyDescent="0.35">
      <c r="A84" s="118">
        <v>86</v>
      </c>
      <c r="B84" s="125" t="s">
        <v>833</v>
      </c>
      <c r="C84" s="49" t="s">
        <v>271</v>
      </c>
      <c r="D84" s="49" t="s">
        <v>39</v>
      </c>
      <c r="E84" s="49" t="s">
        <v>834</v>
      </c>
      <c r="F84" s="56" t="s">
        <v>726</v>
      </c>
      <c r="G84" s="49" t="s">
        <v>835</v>
      </c>
      <c r="H84" s="49" t="s">
        <v>301</v>
      </c>
    </row>
    <row r="85" spans="1:8" ht="39" x14ac:dyDescent="0.35">
      <c r="A85" s="120">
        <v>87</v>
      </c>
      <c r="B85" s="94" t="s">
        <v>833</v>
      </c>
      <c r="C85" s="91" t="s">
        <v>274</v>
      </c>
      <c r="D85" s="91" t="s">
        <v>45</v>
      </c>
      <c r="E85" s="108" t="s">
        <v>656</v>
      </c>
      <c r="F85" s="108" t="s">
        <v>726</v>
      </c>
      <c r="G85" s="108" t="s">
        <v>835</v>
      </c>
      <c r="H85" s="91" t="s">
        <v>301</v>
      </c>
    </row>
    <row r="86" spans="1:8" ht="52" x14ac:dyDescent="0.35">
      <c r="A86" s="120">
        <v>88</v>
      </c>
      <c r="B86" s="94" t="s">
        <v>833</v>
      </c>
      <c r="C86" s="91" t="s">
        <v>277</v>
      </c>
      <c r="D86" s="91" t="s">
        <v>45</v>
      </c>
      <c r="E86" s="91" t="s">
        <v>658</v>
      </c>
      <c r="F86" s="108" t="s">
        <v>726</v>
      </c>
      <c r="G86" s="108" t="s">
        <v>835</v>
      </c>
      <c r="H86" s="91" t="s">
        <v>301</v>
      </c>
    </row>
    <row r="87" spans="1:8" ht="78" x14ac:dyDescent="0.35">
      <c r="A87" s="120">
        <v>89</v>
      </c>
      <c r="B87" s="94" t="s">
        <v>833</v>
      </c>
      <c r="C87" s="121" t="s">
        <v>659</v>
      </c>
      <c r="D87" s="91" t="s">
        <v>45</v>
      </c>
      <c r="E87" s="108" t="s">
        <v>661</v>
      </c>
      <c r="F87" s="108" t="s">
        <v>726</v>
      </c>
      <c r="G87" s="108" t="s">
        <v>835</v>
      </c>
      <c r="H87" s="91" t="s">
        <v>301</v>
      </c>
    </row>
    <row r="88" spans="1:8" ht="39" x14ac:dyDescent="0.35">
      <c r="A88" s="120">
        <v>90</v>
      </c>
      <c r="B88" s="94" t="s">
        <v>833</v>
      </c>
      <c r="C88" s="91" t="s">
        <v>283</v>
      </c>
      <c r="D88" s="91" t="s">
        <v>45</v>
      </c>
      <c r="E88" s="108" t="s">
        <v>663</v>
      </c>
      <c r="F88" s="108" t="s">
        <v>726</v>
      </c>
      <c r="G88" s="108" t="s">
        <v>835</v>
      </c>
      <c r="H88" s="91" t="s">
        <v>301</v>
      </c>
    </row>
    <row r="89" spans="1:8" ht="39" x14ac:dyDescent="0.35">
      <c r="A89" s="120">
        <v>91</v>
      </c>
      <c r="B89" s="94" t="s">
        <v>833</v>
      </c>
      <c r="C89" s="91" t="s">
        <v>286</v>
      </c>
      <c r="D89" s="91" t="s">
        <v>21</v>
      </c>
      <c r="E89" s="91" t="s">
        <v>665</v>
      </c>
      <c r="F89" s="108" t="s">
        <v>726</v>
      </c>
      <c r="G89" s="108" t="s">
        <v>835</v>
      </c>
      <c r="H89" s="91" t="s">
        <v>301</v>
      </c>
    </row>
    <row r="90" spans="1:8" ht="52" x14ac:dyDescent="0.35">
      <c r="A90" s="115">
        <v>92</v>
      </c>
      <c r="B90" s="127" t="s">
        <v>833</v>
      </c>
      <c r="C90" s="116" t="s">
        <v>836</v>
      </c>
      <c r="D90" s="116" t="s">
        <v>21</v>
      </c>
      <c r="E90" s="116" t="s">
        <v>837</v>
      </c>
      <c r="F90" s="117" t="s">
        <v>726</v>
      </c>
      <c r="G90" s="117" t="s">
        <v>835</v>
      </c>
      <c r="H90" s="116" t="s">
        <v>301</v>
      </c>
    </row>
    <row r="91" spans="1:8" ht="195" x14ac:dyDescent="0.35">
      <c r="A91" s="120">
        <v>56</v>
      </c>
      <c r="B91" s="94" t="s">
        <v>838</v>
      </c>
      <c r="C91" s="91" t="s">
        <v>181</v>
      </c>
      <c r="D91" s="91" t="s">
        <v>45</v>
      </c>
      <c r="E91" s="123" t="s">
        <v>839</v>
      </c>
      <c r="F91" s="108" t="s">
        <v>353</v>
      </c>
      <c r="G91" s="108" t="s">
        <v>840</v>
      </c>
      <c r="H91" s="108" t="s">
        <v>841</v>
      </c>
    </row>
    <row r="92" spans="1:8" ht="26" x14ac:dyDescent="0.35">
      <c r="A92" s="120">
        <v>57</v>
      </c>
      <c r="B92" s="94" t="s">
        <v>838</v>
      </c>
      <c r="C92" s="91" t="s">
        <v>184</v>
      </c>
      <c r="D92" s="120" t="s">
        <v>21</v>
      </c>
      <c r="E92" s="108" t="s">
        <v>552</v>
      </c>
      <c r="F92" s="108" t="s">
        <v>353</v>
      </c>
      <c r="G92" s="108" t="s">
        <v>840</v>
      </c>
      <c r="H92" s="108" t="s">
        <v>841</v>
      </c>
    </row>
    <row r="93" spans="1:8" ht="39" x14ac:dyDescent="0.35">
      <c r="A93" s="118">
        <v>61</v>
      </c>
      <c r="B93" s="125" t="s">
        <v>838</v>
      </c>
      <c r="C93" s="49" t="s">
        <v>842</v>
      </c>
      <c r="D93" s="118" t="s">
        <v>21</v>
      </c>
      <c r="E93" s="19" t="s">
        <v>843</v>
      </c>
      <c r="F93" s="56" t="s">
        <v>353</v>
      </c>
      <c r="G93" s="56" t="s">
        <v>844</v>
      </c>
      <c r="H93" s="56" t="s">
        <v>841</v>
      </c>
    </row>
    <row r="94" spans="1:8" ht="40.15" customHeight="1" x14ac:dyDescent="0.35">
      <c r="A94" s="118">
        <v>59</v>
      </c>
      <c r="B94" s="125" t="s">
        <v>838</v>
      </c>
      <c r="C94" s="49" t="s">
        <v>311</v>
      </c>
      <c r="D94" s="118" t="s">
        <v>21</v>
      </c>
      <c r="E94" s="19" t="s">
        <v>845</v>
      </c>
      <c r="F94" s="56" t="s">
        <v>353</v>
      </c>
      <c r="G94" s="56" t="s">
        <v>844</v>
      </c>
      <c r="H94" s="56" t="s">
        <v>841</v>
      </c>
    </row>
    <row r="95" spans="1:8" ht="52" x14ac:dyDescent="0.35">
      <c r="A95" s="118">
        <v>58</v>
      </c>
      <c r="B95" s="125" t="s">
        <v>838</v>
      </c>
      <c r="C95" s="49" t="s">
        <v>846</v>
      </c>
      <c r="D95" s="118" t="s">
        <v>45</v>
      </c>
      <c r="E95" s="19" t="s">
        <v>847</v>
      </c>
      <c r="F95" s="56" t="s">
        <v>353</v>
      </c>
      <c r="G95" s="56" t="s">
        <v>844</v>
      </c>
      <c r="H95" s="56" t="s">
        <v>841</v>
      </c>
    </row>
    <row r="96" spans="1:8" ht="52" x14ac:dyDescent="0.35">
      <c r="A96" s="118"/>
      <c r="B96" s="125" t="s">
        <v>838</v>
      </c>
      <c r="C96" s="49" t="s">
        <v>309</v>
      </c>
      <c r="D96" s="49" t="s">
        <v>21</v>
      </c>
      <c r="E96" s="49" t="s">
        <v>848</v>
      </c>
      <c r="F96" s="56"/>
      <c r="G96" s="49"/>
      <c r="H96" s="49"/>
    </row>
    <row r="97" spans="1:8" ht="39" x14ac:dyDescent="0.35">
      <c r="A97" s="115"/>
      <c r="B97" s="127" t="s">
        <v>838</v>
      </c>
      <c r="C97" s="116" t="s">
        <v>849</v>
      </c>
      <c r="D97" s="116" t="s">
        <v>39</v>
      </c>
      <c r="E97" s="126" t="s">
        <v>850</v>
      </c>
      <c r="F97" s="117" t="s">
        <v>353</v>
      </c>
      <c r="G97" s="117" t="s">
        <v>844</v>
      </c>
      <c r="H97" s="117" t="s">
        <v>841</v>
      </c>
    </row>
    <row r="98" spans="1:8" ht="26" x14ac:dyDescent="0.35">
      <c r="A98" s="115"/>
      <c r="B98" s="127" t="s">
        <v>838</v>
      </c>
      <c r="C98" s="116" t="s">
        <v>851</v>
      </c>
      <c r="D98" s="116" t="s">
        <v>39</v>
      </c>
      <c r="E98" s="117" t="s">
        <v>852</v>
      </c>
      <c r="F98" s="117" t="s">
        <v>353</v>
      </c>
      <c r="G98" s="117" t="s">
        <v>844</v>
      </c>
      <c r="H98" s="117" t="s">
        <v>841</v>
      </c>
    </row>
    <row r="99" spans="1:8" ht="39" x14ac:dyDescent="0.35">
      <c r="A99" s="115"/>
      <c r="B99" s="127" t="s">
        <v>838</v>
      </c>
      <c r="C99" s="116" t="s">
        <v>853</v>
      </c>
      <c r="D99" s="116" t="s">
        <v>39</v>
      </c>
      <c r="E99" s="126" t="s">
        <v>854</v>
      </c>
      <c r="F99" s="117" t="s">
        <v>353</v>
      </c>
      <c r="G99" s="117" t="s">
        <v>844</v>
      </c>
      <c r="H99" s="117" t="s">
        <v>841</v>
      </c>
    </row>
    <row r="100" spans="1:8" ht="26" x14ac:dyDescent="0.35">
      <c r="A100" s="115">
        <v>63</v>
      </c>
      <c r="B100" s="127" t="s">
        <v>838</v>
      </c>
      <c r="C100" s="116" t="s">
        <v>855</v>
      </c>
      <c r="D100" s="115" t="s">
        <v>34</v>
      </c>
      <c r="E100" s="126" t="s">
        <v>856</v>
      </c>
      <c r="F100" s="117" t="s">
        <v>353</v>
      </c>
      <c r="G100" s="117" t="s">
        <v>844</v>
      </c>
      <c r="H100" s="117" t="s">
        <v>841</v>
      </c>
    </row>
    <row r="101" spans="1:8" ht="26" x14ac:dyDescent="0.35">
      <c r="A101" s="115"/>
      <c r="B101" s="127" t="s">
        <v>838</v>
      </c>
      <c r="C101" s="116" t="s">
        <v>857</v>
      </c>
      <c r="D101" s="116" t="s">
        <v>39</v>
      </c>
      <c r="E101" s="117" t="s">
        <v>858</v>
      </c>
      <c r="F101" s="117" t="s">
        <v>353</v>
      </c>
      <c r="G101" s="117" t="s">
        <v>844</v>
      </c>
      <c r="H101" s="117" t="s">
        <v>841</v>
      </c>
    </row>
    <row r="102" spans="1:8" ht="26" x14ac:dyDescent="0.35">
      <c r="A102" s="115">
        <v>62</v>
      </c>
      <c r="B102" s="127" t="s">
        <v>838</v>
      </c>
      <c r="C102" s="116" t="s">
        <v>317</v>
      </c>
      <c r="D102" s="115" t="s">
        <v>34</v>
      </c>
      <c r="E102" s="126" t="s">
        <v>859</v>
      </c>
      <c r="F102" s="117" t="s">
        <v>353</v>
      </c>
      <c r="G102" s="117" t="s">
        <v>844</v>
      </c>
      <c r="H102" s="117" t="s">
        <v>841</v>
      </c>
    </row>
    <row r="103" spans="1:8" ht="26" x14ac:dyDescent="0.35">
      <c r="A103" s="115"/>
      <c r="B103" s="127" t="s">
        <v>838</v>
      </c>
      <c r="C103" s="116" t="s">
        <v>860</v>
      </c>
      <c r="D103" s="116" t="s">
        <v>45</v>
      </c>
      <c r="E103" s="116" t="s">
        <v>861</v>
      </c>
      <c r="F103" s="117" t="s">
        <v>353</v>
      </c>
      <c r="G103" s="117" t="s">
        <v>844</v>
      </c>
      <c r="H103" s="117" t="s">
        <v>841</v>
      </c>
    </row>
    <row r="104" spans="1:8" ht="52" x14ac:dyDescent="0.35">
      <c r="A104" s="115">
        <v>60</v>
      </c>
      <c r="B104" s="127" t="s">
        <v>838</v>
      </c>
      <c r="C104" s="116" t="s">
        <v>862</v>
      </c>
      <c r="D104" s="115" t="s">
        <v>45</v>
      </c>
      <c r="E104" s="126" t="s">
        <v>863</v>
      </c>
      <c r="F104" s="117" t="s">
        <v>353</v>
      </c>
      <c r="G104" s="117" t="s">
        <v>844</v>
      </c>
      <c r="H104" s="117" t="s">
        <v>841</v>
      </c>
    </row>
    <row r="105" spans="1:8" ht="26" x14ac:dyDescent="0.35">
      <c r="A105" s="120">
        <v>64</v>
      </c>
      <c r="B105" s="94" t="s">
        <v>838</v>
      </c>
      <c r="C105" s="91" t="s">
        <v>573</v>
      </c>
      <c r="D105" s="120" t="s">
        <v>21</v>
      </c>
      <c r="E105" s="95" t="s">
        <v>576</v>
      </c>
      <c r="F105" s="108" t="s">
        <v>353</v>
      </c>
      <c r="G105" s="108" t="s">
        <v>844</v>
      </c>
      <c r="H105" s="108" t="s">
        <v>841</v>
      </c>
    </row>
    <row r="106" spans="1:8" ht="26" x14ac:dyDescent="0.35">
      <c r="A106" s="120">
        <v>66</v>
      </c>
      <c r="B106" s="94" t="s">
        <v>838</v>
      </c>
      <c r="C106" s="91" t="s">
        <v>580</v>
      </c>
      <c r="D106" s="120" t="s">
        <v>21</v>
      </c>
      <c r="E106" s="95" t="s">
        <v>583</v>
      </c>
      <c r="F106" s="108" t="s">
        <v>353</v>
      </c>
      <c r="G106" s="108" t="s">
        <v>844</v>
      </c>
      <c r="H106" s="108" t="s">
        <v>841</v>
      </c>
    </row>
    <row r="107" spans="1:8" ht="26" x14ac:dyDescent="0.35">
      <c r="A107" s="120">
        <v>67</v>
      </c>
      <c r="B107" s="94" t="s">
        <v>838</v>
      </c>
      <c r="C107" s="91" t="s">
        <v>327</v>
      </c>
      <c r="D107" s="120" t="s">
        <v>21</v>
      </c>
      <c r="E107" s="95" t="s">
        <v>586</v>
      </c>
      <c r="F107" s="108" t="s">
        <v>353</v>
      </c>
      <c r="G107" s="108" t="s">
        <v>844</v>
      </c>
      <c r="H107" s="108" t="s">
        <v>841</v>
      </c>
    </row>
    <row r="108" spans="1:8" ht="39" x14ac:dyDescent="0.35">
      <c r="A108" s="120">
        <v>68</v>
      </c>
      <c r="B108" s="94" t="s">
        <v>838</v>
      </c>
      <c r="C108" s="121" t="s">
        <v>587</v>
      </c>
      <c r="D108" s="120" t="s">
        <v>21</v>
      </c>
      <c r="E108" s="95" t="s">
        <v>590</v>
      </c>
      <c r="F108" s="108" t="s">
        <v>353</v>
      </c>
      <c r="G108" s="108" t="s">
        <v>844</v>
      </c>
      <c r="H108" s="108" t="s">
        <v>841</v>
      </c>
    </row>
    <row r="109" spans="1:8" ht="26" x14ac:dyDescent="0.35">
      <c r="A109" s="120">
        <v>69</v>
      </c>
      <c r="B109" s="94" t="s">
        <v>838</v>
      </c>
      <c r="C109" s="91" t="s">
        <v>331</v>
      </c>
      <c r="D109" s="120" t="s">
        <v>21</v>
      </c>
      <c r="E109" s="95" t="s">
        <v>593</v>
      </c>
      <c r="F109" s="108" t="s">
        <v>353</v>
      </c>
      <c r="G109" s="108" t="s">
        <v>844</v>
      </c>
      <c r="H109" s="108" t="s">
        <v>841</v>
      </c>
    </row>
    <row r="110" spans="1:8" ht="26" x14ac:dyDescent="0.35">
      <c r="A110" s="118">
        <v>70</v>
      </c>
      <c r="B110" s="125" t="s">
        <v>838</v>
      </c>
      <c r="C110" s="49" t="s">
        <v>594</v>
      </c>
      <c r="D110" s="118" t="s">
        <v>21</v>
      </c>
      <c r="E110" s="56" t="s">
        <v>1525</v>
      </c>
      <c r="F110" s="56" t="s">
        <v>353</v>
      </c>
      <c r="G110" s="56" t="s">
        <v>844</v>
      </c>
      <c r="H110" s="56" t="s">
        <v>841</v>
      </c>
    </row>
    <row r="111" spans="1:8" ht="65" x14ac:dyDescent="0.35">
      <c r="A111" s="118">
        <v>72</v>
      </c>
      <c r="B111" s="125" t="s">
        <v>838</v>
      </c>
      <c r="C111" s="49" t="s">
        <v>705</v>
      </c>
      <c r="D111" s="118" t="s">
        <v>21</v>
      </c>
      <c r="E111" s="56" t="s">
        <v>864</v>
      </c>
      <c r="F111" s="56" t="s">
        <v>353</v>
      </c>
      <c r="G111" s="56" t="s">
        <v>840</v>
      </c>
      <c r="H111" s="56" t="s">
        <v>841</v>
      </c>
    </row>
    <row r="112" spans="1:8" ht="65.5" x14ac:dyDescent="0.35">
      <c r="A112" s="33">
        <v>92</v>
      </c>
      <c r="B112" s="34" t="s">
        <v>865</v>
      </c>
      <c r="C112" s="34" t="s">
        <v>349</v>
      </c>
      <c r="D112" s="34" t="s">
        <v>45</v>
      </c>
      <c r="E112" s="72" t="s">
        <v>866</v>
      </c>
      <c r="F112" s="6" t="s">
        <v>350</v>
      </c>
      <c r="G112" s="34" t="s">
        <v>867</v>
      </c>
      <c r="H112" s="51"/>
    </row>
    <row r="113" spans="1:8" ht="26" x14ac:dyDescent="0.35">
      <c r="A113" s="33">
        <v>92</v>
      </c>
      <c r="B113" s="34" t="s">
        <v>865</v>
      </c>
      <c r="C113" s="34" t="s">
        <v>356</v>
      </c>
      <c r="D113" s="34" t="s">
        <v>21</v>
      </c>
      <c r="E113" s="6" t="s">
        <v>868</v>
      </c>
      <c r="F113" s="6" t="s">
        <v>350</v>
      </c>
      <c r="G113" s="34" t="s">
        <v>867</v>
      </c>
      <c r="H113" s="51"/>
    </row>
    <row r="114" spans="1:8" x14ac:dyDescent="0.35">
      <c r="A114" s="33">
        <v>92</v>
      </c>
      <c r="B114" s="34" t="s">
        <v>865</v>
      </c>
      <c r="C114" s="34" t="s">
        <v>365</v>
      </c>
      <c r="D114" s="34" t="s">
        <v>34</v>
      </c>
      <c r="E114" s="6" t="s">
        <v>869</v>
      </c>
      <c r="F114" s="6" t="s">
        <v>350</v>
      </c>
      <c r="G114" s="34" t="s">
        <v>867</v>
      </c>
      <c r="H114" s="51"/>
    </row>
    <row r="115" spans="1:8" ht="26" x14ac:dyDescent="0.35">
      <c r="A115" s="118"/>
      <c r="B115" s="49" t="s">
        <v>865</v>
      </c>
      <c r="C115" s="49" t="s">
        <v>870</v>
      </c>
      <c r="D115" s="49" t="s">
        <v>45</v>
      </c>
      <c r="E115" s="49" t="s">
        <v>871</v>
      </c>
      <c r="F115" s="56" t="s">
        <v>350</v>
      </c>
      <c r="G115" s="49" t="s">
        <v>867</v>
      </c>
      <c r="H115" s="49"/>
    </row>
    <row r="116" spans="1:8" ht="39" x14ac:dyDescent="0.35">
      <c r="A116" s="118"/>
      <c r="B116" s="49" t="s">
        <v>865</v>
      </c>
      <c r="C116" s="49" t="s">
        <v>872</v>
      </c>
      <c r="D116" s="49" t="s">
        <v>39</v>
      </c>
      <c r="E116" s="49" t="s">
        <v>873</v>
      </c>
      <c r="F116" s="56" t="s">
        <v>350</v>
      </c>
      <c r="G116" s="49" t="s">
        <v>867</v>
      </c>
      <c r="H116" s="49"/>
    </row>
    <row r="117" spans="1:8" ht="26" x14ac:dyDescent="0.35">
      <c r="A117" s="33">
        <v>92</v>
      </c>
      <c r="B117" s="34" t="s">
        <v>865</v>
      </c>
      <c r="C117" s="34" t="s">
        <v>367</v>
      </c>
      <c r="D117" s="34" t="s">
        <v>34</v>
      </c>
      <c r="E117" s="6" t="s">
        <v>874</v>
      </c>
      <c r="F117" s="6" t="s">
        <v>368</v>
      </c>
      <c r="G117" s="34" t="s">
        <v>867</v>
      </c>
      <c r="H117" s="51"/>
    </row>
    <row r="118" spans="1:8" ht="78" x14ac:dyDescent="0.35">
      <c r="A118" s="33">
        <v>92</v>
      </c>
      <c r="B118" s="34" t="s">
        <v>865</v>
      </c>
      <c r="C118" s="34" t="s">
        <v>370</v>
      </c>
      <c r="D118" s="34" t="s">
        <v>21</v>
      </c>
      <c r="E118" s="6" t="s">
        <v>875</v>
      </c>
      <c r="F118" s="6" t="s">
        <v>350</v>
      </c>
      <c r="G118" s="34" t="s">
        <v>867</v>
      </c>
      <c r="H118" s="51"/>
    </row>
    <row r="119" spans="1:8" ht="91" x14ac:dyDescent="0.35">
      <c r="A119" s="33">
        <v>92</v>
      </c>
      <c r="B119" s="34" t="s">
        <v>865</v>
      </c>
      <c r="C119" s="34" t="s">
        <v>373</v>
      </c>
      <c r="D119" s="34" t="s">
        <v>21</v>
      </c>
      <c r="E119" s="6" t="s">
        <v>1526</v>
      </c>
      <c r="F119" s="6" t="s">
        <v>350</v>
      </c>
      <c r="G119" s="34" t="s">
        <v>867</v>
      </c>
      <c r="H119" s="51"/>
    </row>
    <row r="120" spans="1:8" ht="65" x14ac:dyDescent="0.35">
      <c r="A120" s="33">
        <v>92</v>
      </c>
      <c r="B120" s="34" t="s">
        <v>865</v>
      </c>
      <c r="C120" s="34" t="s">
        <v>376</v>
      </c>
      <c r="D120" s="34" t="s">
        <v>21</v>
      </c>
      <c r="E120" s="6" t="s">
        <v>876</v>
      </c>
      <c r="F120" s="6" t="s">
        <v>350</v>
      </c>
      <c r="G120" s="34" t="s">
        <v>867</v>
      </c>
      <c r="H120" s="51"/>
    </row>
    <row r="121" spans="1:8" ht="52" x14ac:dyDescent="0.35">
      <c r="A121" s="33">
        <v>92</v>
      </c>
      <c r="B121" s="34" t="s">
        <v>865</v>
      </c>
      <c r="C121" s="34" t="s">
        <v>379</v>
      </c>
      <c r="D121" s="34" t="s">
        <v>21</v>
      </c>
      <c r="E121" s="6" t="s">
        <v>877</v>
      </c>
      <c r="F121" s="6" t="s">
        <v>350</v>
      </c>
      <c r="G121" s="34" t="s">
        <v>867</v>
      </c>
      <c r="H121" s="51"/>
    </row>
    <row r="129" spans="5:5" x14ac:dyDescent="0.35">
      <c r="E129" s="5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3639-C1A0-40CF-9BFA-09F763DFB378}">
  <dimension ref="A1:H47"/>
  <sheetViews>
    <sheetView zoomScale="130" zoomScaleNormal="130" workbookViewId="0">
      <pane xSplit="4" ySplit="1" topLeftCell="E2" activePane="bottomRight" state="frozen"/>
      <selection pane="topRight" activeCell="E1" sqref="E1"/>
      <selection pane="bottomLeft" activeCell="A2" sqref="A2"/>
      <selection pane="bottomRight" activeCell="D24" sqref="D24"/>
    </sheetView>
  </sheetViews>
  <sheetFormatPr defaultRowHeight="14.5" x14ac:dyDescent="0.35"/>
  <cols>
    <col min="2" max="2" width="15.54296875" customWidth="1"/>
    <col min="3" max="3" width="10.7265625" customWidth="1"/>
    <col min="4" max="4" width="22.26953125" style="96" customWidth="1"/>
    <col min="5" max="5" width="14.7265625" customWidth="1"/>
    <col min="6" max="6" width="56.81640625" customWidth="1"/>
    <col min="7" max="7" width="33.81640625" customWidth="1"/>
    <col min="8" max="8" width="17.453125" customWidth="1"/>
  </cols>
  <sheetData>
    <row r="1" spans="1:8" x14ac:dyDescent="0.35">
      <c r="A1" s="68" t="s">
        <v>0</v>
      </c>
      <c r="B1" s="98" t="s">
        <v>337</v>
      </c>
      <c r="C1" s="98" t="s">
        <v>338</v>
      </c>
      <c r="D1" s="98" t="s">
        <v>339</v>
      </c>
      <c r="E1" s="93" t="s">
        <v>340</v>
      </c>
      <c r="F1" s="99" t="s">
        <v>676</v>
      </c>
      <c r="G1" s="68" t="s">
        <v>345</v>
      </c>
      <c r="H1" s="93" t="s">
        <v>347</v>
      </c>
    </row>
    <row r="2" spans="1:8" x14ac:dyDescent="0.35">
      <c r="A2" s="72">
        <v>1</v>
      </c>
      <c r="B2" s="73" t="s">
        <v>348</v>
      </c>
      <c r="C2" s="74"/>
      <c r="D2" s="72" t="s">
        <v>349</v>
      </c>
      <c r="E2" s="6" t="s">
        <v>350</v>
      </c>
      <c r="F2" s="72" t="s">
        <v>878</v>
      </c>
      <c r="G2" s="11"/>
      <c r="H2" s="72"/>
    </row>
    <row r="3" spans="1:8" ht="26" x14ac:dyDescent="0.35">
      <c r="A3" s="6">
        <v>2</v>
      </c>
      <c r="B3" s="29" t="s">
        <v>348</v>
      </c>
      <c r="C3" s="57"/>
      <c r="D3" s="6" t="s">
        <v>28</v>
      </c>
      <c r="E3" s="6" t="s">
        <v>353</v>
      </c>
      <c r="F3" s="6" t="s">
        <v>354</v>
      </c>
      <c r="G3" s="11"/>
      <c r="H3" s="6"/>
    </row>
    <row r="4" spans="1:8" x14ac:dyDescent="0.35">
      <c r="A4" s="6">
        <v>3</v>
      </c>
      <c r="B4" s="29" t="s">
        <v>348</v>
      </c>
      <c r="C4" s="57"/>
      <c r="D4" s="6" t="s">
        <v>356</v>
      </c>
      <c r="E4" s="6" t="s">
        <v>350</v>
      </c>
      <c r="F4" s="6" t="s">
        <v>879</v>
      </c>
      <c r="G4" s="11"/>
      <c r="H4" s="6"/>
    </row>
    <row r="5" spans="1:8" x14ac:dyDescent="0.35">
      <c r="A5" s="72">
        <v>4</v>
      </c>
      <c r="B5" s="29" t="s">
        <v>348</v>
      </c>
      <c r="C5" s="29"/>
      <c r="D5" s="19" t="s">
        <v>358</v>
      </c>
      <c r="E5" s="6" t="s">
        <v>359</v>
      </c>
      <c r="F5" s="58" t="s">
        <v>360</v>
      </c>
      <c r="G5" s="11"/>
      <c r="H5" s="6"/>
    </row>
    <row r="6" spans="1:8" ht="26" x14ac:dyDescent="0.35">
      <c r="A6" s="6">
        <v>5</v>
      </c>
      <c r="B6" s="29" t="s">
        <v>348</v>
      </c>
      <c r="C6" s="57"/>
      <c r="D6" s="19" t="s">
        <v>361</v>
      </c>
      <c r="E6" s="6" t="s">
        <v>359</v>
      </c>
      <c r="F6" s="58" t="s">
        <v>362</v>
      </c>
      <c r="G6" s="11"/>
      <c r="H6" s="6"/>
    </row>
    <row r="7" spans="1:8" ht="26" x14ac:dyDescent="0.35">
      <c r="A7" s="6">
        <v>6</v>
      </c>
      <c r="B7" s="29" t="s">
        <v>348</v>
      </c>
      <c r="C7" s="57"/>
      <c r="D7" s="19" t="s">
        <v>363</v>
      </c>
      <c r="E7" s="6" t="s">
        <v>359</v>
      </c>
      <c r="F7" s="58" t="s">
        <v>364</v>
      </c>
      <c r="G7" s="11"/>
      <c r="H7" s="6"/>
    </row>
    <row r="8" spans="1:8" x14ac:dyDescent="0.35">
      <c r="A8" s="72">
        <v>7</v>
      </c>
      <c r="B8" s="29" t="s">
        <v>348</v>
      </c>
      <c r="C8" s="57"/>
      <c r="D8" s="6" t="s">
        <v>365</v>
      </c>
      <c r="E8" s="6" t="s">
        <v>350</v>
      </c>
      <c r="F8" s="6" t="s">
        <v>880</v>
      </c>
      <c r="G8" s="11"/>
      <c r="H8" s="6"/>
    </row>
    <row r="9" spans="1:8" x14ac:dyDescent="0.35">
      <c r="A9" s="6"/>
      <c r="B9" s="29" t="s">
        <v>348</v>
      </c>
      <c r="C9" s="57"/>
      <c r="D9" s="6" t="s">
        <v>870</v>
      </c>
      <c r="E9" s="6" t="s">
        <v>350</v>
      </c>
      <c r="F9" s="8" t="s">
        <v>881</v>
      </c>
      <c r="G9" s="11"/>
      <c r="H9" s="6"/>
    </row>
    <row r="10" spans="1:8" x14ac:dyDescent="0.35">
      <c r="A10" s="6"/>
      <c r="B10" s="29" t="s">
        <v>348</v>
      </c>
      <c r="C10" s="57"/>
      <c r="D10" s="6" t="s">
        <v>872</v>
      </c>
      <c r="E10" s="6" t="s">
        <v>350</v>
      </c>
      <c r="F10" s="8" t="s">
        <v>882</v>
      </c>
      <c r="G10" s="11"/>
      <c r="H10" s="6"/>
    </row>
    <row r="11" spans="1:8" ht="27" customHeight="1" x14ac:dyDescent="0.35">
      <c r="A11" s="6">
        <v>8</v>
      </c>
      <c r="B11" s="29" t="s">
        <v>348</v>
      </c>
      <c r="C11" s="57"/>
      <c r="D11" s="6" t="s">
        <v>367</v>
      </c>
      <c r="E11" s="6" t="s">
        <v>368</v>
      </c>
      <c r="F11" s="6" t="s">
        <v>883</v>
      </c>
      <c r="G11" s="11"/>
      <c r="H11" s="6"/>
    </row>
    <row r="12" spans="1:8" ht="26" x14ac:dyDescent="0.35">
      <c r="A12" s="6">
        <v>9</v>
      </c>
      <c r="B12" s="29" t="s">
        <v>370</v>
      </c>
      <c r="C12" s="57"/>
      <c r="D12" s="6" t="s">
        <v>370</v>
      </c>
      <c r="E12" s="6" t="s">
        <v>350</v>
      </c>
      <c r="F12" s="6" t="s">
        <v>884</v>
      </c>
      <c r="G12" s="11"/>
      <c r="H12" s="6"/>
    </row>
    <row r="13" spans="1:8" ht="26" x14ac:dyDescent="0.35">
      <c r="A13" s="72">
        <v>10</v>
      </c>
      <c r="B13" s="29" t="s">
        <v>373</v>
      </c>
      <c r="C13" s="57"/>
      <c r="D13" s="29" t="s">
        <v>373</v>
      </c>
      <c r="E13" s="6" t="s">
        <v>350</v>
      </c>
      <c r="F13" s="6" t="s">
        <v>885</v>
      </c>
      <c r="G13" s="11"/>
      <c r="H13" s="6"/>
    </row>
    <row r="14" spans="1:8" ht="39" x14ac:dyDescent="0.35">
      <c r="A14" s="6">
        <v>11</v>
      </c>
      <c r="B14" s="29" t="s">
        <v>376</v>
      </c>
      <c r="C14" s="57"/>
      <c r="D14" s="29" t="s">
        <v>376</v>
      </c>
      <c r="E14" s="6" t="s">
        <v>350</v>
      </c>
      <c r="F14" s="6" t="s">
        <v>886</v>
      </c>
      <c r="G14" s="11"/>
      <c r="H14" s="6"/>
    </row>
    <row r="15" spans="1:8" ht="26" x14ac:dyDescent="0.35">
      <c r="A15" s="6">
        <v>12</v>
      </c>
      <c r="B15" s="29" t="s">
        <v>379</v>
      </c>
      <c r="C15" s="57"/>
      <c r="D15" s="6" t="s">
        <v>379</v>
      </c>
      <c r="E15" s="6" t="s">
        <v>350</v>
      </c>
      <c r="F15" s="6" t="s">
        <v>887</v>
      </c>
      <c r="G15" s="11"/>
      <c r="H15" s="6"/>
    </row>
    <row r="16" spans="1:8" s="9" customFormat="1" ht="78" x14ac:dyDescent="0.3">
      <c r="A16" s="72">
        <v>13</v>
      </c>
      <c r="B16" s="29" t="s">
        <v>731</v>
      </c>
      <c r="C16" s="57"/>
      <c r="D16" s="6" t="s">
        <v>678</v>
      </c>
      <c r="E16" s="6" t="s">
        <v>353</v>
      </c>
      <c r="F16" s="6" t="s">
        <v>888</v>
      </c>
      <c r="G16" s="11"/>
      <c r="H16" s="6"/>
    </row>
    <row r="17" spans="1:8" s="9" customFormat="1" ht="26" x14ac:dyDescent="0.35">
      <c r="A17" s="6">
        <v>14</v>
      </c>
      <c r="B17" s="29" t="s">
        <v>731</v>
      </c>
      <c r="C17" s="57"/>
      <c r="D17" s="34" t="s">
        <v>680</v>
      </c>
      <c r="E17" s="6" t="s">
        <v>353</v>
      </c>
      <c r="F17" s="8" t="s">
        <v>681</v>
      </c>
      <c r="G17" s="11"/>
      <c r="H17" s="6"/>
    </row>
    <row r="18" spans="1:8" s="9" customFormat="1" ht="52" x14ac:dyDescent="0.35">
      <c r="A18" s="6">
        <v>15</v>
      </c>
      <c r="B18" s="29" t="s">
        <v>736</v>
      </c>
      <c r="C18" s="57"/>
      <c r="D18" s="6" t="s">
        <v>682</v>
      </c>
      <c r="E18" s="6" t="s">
        <v>353</v>
      </c>
      <c r="F18" s="8" t="s">
        <v>889</v>
      </c>
      <c r="G18" s="11"/>
      <c r="H18" s="6"/>
    </row>
    <row r="19" spans="1:8" s="9" customFormat="1" ht="26" x14ac:dyDescent="0.3">
      <c r="A19" s="72">
        <v>16</v>
      </c>
      <c r="B19" s="29" t="s">
        <v>736</v>
      </c>
      <c r="C19" s="57"/>
      <c r="D19" s="6" t="s">
        <v>684</v>
      </c>
      <c r="E19" s="6" t="s">
        <v>353</v>
      </c>
      <c r="F19" s="8" t="s">
        <v>685</v>
      </c>
      <c r="G19" s="11"/>
      <c r="H19" s="6"/>
    </row>
    <row r="20" spans="1:8" s="9" customFormat="1" ht="26" x14ac:dyDescent="0.35">
      <c r="A20" s="6"/>
      <c r="B20" s="29" t="s">
        <v>747</v>
      </c>
      <c r="C20" s="57"/>
      <c r="D20" s="6" t="s">
        <v>690</v>
      </c>
      <c r="E20" s="6" t="s">
        <v>353</v>
      </c>
      <c r="F20" s="8" t="s">
        <v>691</v>
      </c>
      <c r="G20" s="11"/>
      <c r="H20" s="6"/>
    </row>
    <row r="21" spans="1:8" s="9" customFormat="1" ht="39" x14ac:dyDescent="0.35">
      <c r="A21" s="6">
        <v>20</v>
      </c>
      <c r="B21" s="29" t="s">
        <v>751</v>
      </c>
      <c r="C21" s="57"/>
      <c r="D21" s="6" t="s">
        <v>686</v>
      </c>
      <c r="E21" s="6" t="s">
        <v>353</v>
      </c>
      <c r="F21" s="6" t="s">
        <v>890</v>
      </c>
      <c r="G21" s="11"/>
      <c r="H21" s="6"/>
    </row>
    <row r="22" spans="1:8" s="9" customFormat="1" ht="26" x14ac:dyDescent="0.35">
      <c r="A22" s="6"/>
      <c r="B22" s="29" t="s">
        <v>751</v>
      </c>
      <c r="C22" s="57"/>
      <c r="D22" s="6" t="s">
        <v>688</v>
      </c>
      <c r="E22" s="6" t="s">
        <v>353</v>
      </c>
      <c r="F22" s="8" t="s">
        <v>689</v>
      </c>
      <c r="G22" s="11"/>
      <c r="H22" s="6"/>
    </row>
    <row r="23" spans="1:8" s="9" customFormat="1" ht="78" x14ac:dyDescent="0.35">
      <c r="A23" s="6">
        <v>21</v>
      </c>
      <c r="B23" s="51" t="s">
        <v>756</v>
      </c>
      <c r="C23" s="51"/>
      <c r="D23" s="51" t="s">
        <v>692</v>
      </c>
      <c r="E23" s="6" t="s">
        <v>353</v>
      </c>
      <c r="F23" s="8" t="s">
        <v>891</v>
      </c>
      <c r="G23" s="11"/>
      <c r="H23" s="6"/>
    </row>
    <row r="24" spans="1:8" s="9" customFormat="1" ht="39" x14ac:dyDescent="0.3">
      <c r="A24" s="72">
        <v>22</v>
      </c>
      <c r="B24" s="51" t="s">
        <v>756</v>
      </c>
      <c r="C24" s="51"/>
      <c r="D24" s="51" t="s">
        <v>694</v>
      </c>
      <c r="E24" s="6" t="s">
        <v>353</v>
      </c>
      <c r="F24" s="8" t="s">
        <v>695</v>
      </c>
      <c r="G24" s="11"/>
      <c r="H24" s="6"/>
    </row>
    <row r="25" spans="1:8" s="9" customFormat="1" ht="52" x14ac:dyDescent="0.35">
      <c r="A25" s="6">
        <v>23</v>
      </c>
      <c r="B25" s="57" t="s">
        <v>774</v>
      </c>
      <c r="C25" s="57"/>
      <c r="D25" s="57" t="s">
        <v>696</v>
      </c>
      <c r="E25" s="6" t="s">
        <v>353</v>
      </c>
      <c r="F25" s="8" t="s">
        <v>892</v>
      </c>
      <c r="G25" s="11"/>
      <c r="H25" s="6"/>
    </row>
    <row r="26" spans="1:8" s="9" customFormat="1" ht="26" x14ac:dyDescent="0.35">
      <c r="A26" s="6">
        <v>24</v>
      </c>
      <c r="B26" s="57" t="s">
        <v>774</v>
      </c>
      <c r="C26" s="57"/>
      <c r="D26" s="57" t="s">
        <v>698</v>
      </c>
      <c r="E26" s="6" t="s">
        <v>353</v>
      </c>
      <c r="F26" s="8" t="s">
        <v>699</v>
      </c>
      <c r="G26" s="11"/>
      <c r="H26" s="6"/>
    </row>
    <row r="27" spans="1:8" s="9" customFormat="1" ht="65" x14ac:dyDescent="0.3">
      <c r="A27" s="72">
        <v>25</v>
      </c>
      <c r="B27" s="6" t="s">
        <v>783</v>
      </c>
      <c r="C27" s="6"/>
      <c r="D27" s="6" t="s">
        <v>700</v>
      </c>
      <c r="E27" s="6" t="s">
        <v>353</v>
      </c>
      <c r="F27" s="8" t="s">
        <v>893</v>
      </c>
      <c r="G27" s="11"/>
      <c r="H27" s="6"/>
    </row>
    <row r="28" spans="1:8" s="9" customFormat="1" ht="26" x14ac:dyDescent="0.35">
      <c r="A28" s="6">
        <v>26</v>
      </c>
      <c r="B28" s="6" t="s">
        <v>783</v>
      </c>
      <c r="C28" s="6"/>
      <c r="D28" s="6" t="s">
        <v>702</v>
      </c>
      <c r="E28" s="6" t="s">
        <v>353</v>
      </c>
      <c r="F28" s="8" t="s">
        <v>703</v>
      </c>
      <c r="G28" s="11"/>
      <c r="H28" s="6"/>
    </row>
    <row r="29" spans="1:8" s="9" customFormat="1" ht="52" x14ac:dyDescent="0.35">
      <c r="A29" s="6">
        <v>29</v>
      </c>
      <c r="B29" s="7" t="s">
        <v>799</v>
      </c>
      <c r="C29" s="57"/>
      <c r="D29" s="6" t="s">
        <v>707</v>
      </c>
      <c r="E29" s="6" t="s">
        <v>353</v>
      </c>
      <c r="F29" s="8" t="s">
        <v>708</v>
      </c>
      <c r="G29" s="11"/>
      <c r="H29" s="6"/>
    </row>
    <row r="30" spans="1:8" s="6" customFormat="1" ht="26" x14ac:dyDescent="0.35">
      <c r="A30" s="6">
        <v>30</v>
      </c>
      <c r="B30" s="7" t="s">
        <v>799</v>
      </c>
      <c r="C30" s="57"/>
      <c r="D30" s="34" t="s">
        <v>709</v>
      </c>
      <c r="E30" s="6" t="s">
        <v>353</v>
      </c>
      <c r="F30" s="8" t="s">
        <v>710</v>
      </c>
      <c r="G30" s="11"/>
    </row>
    <row r="31" spans="1:8" s="9" customFormat="1" ht="39" x14ac:dyDescent="0.3">
      <c r="A31" s="72">
        <v>31</v>
      </c>
      <c r="B31" s="7" t="s">
        <v>802</v>
      </c>
      <c r="C31" s="62"/>
      <c r="D31" s="7" t="s">
        <v>712</v>
      </c>
      <c r="E31" s="6" t="s">
        <v>353</v>
      </c>
      <c r="F31" s="8" t="s">
        <v>713</v>
      </c>
      <c r="G31" s="11"/>
      <c r="H31" s="6"/>
    </row>
    <row r="32" spans="1:8" s="9" customFormat="1" ht="26" x14ac:dyDescent="0.35">
      <c r="A32" s="6">
        <v>32</v>
      </c>
      <c r="B32" s="7" t="s">
        <v>802</v>
      </c>
      <c r="C32" s="62"/>
      <c r="D32" s="34" t="s">
        <v>714</v>
      </c>
      <c r="E32" s="6" t="s">
        <v>353</v>
      </c>
      <c r="F32" s="8" t="s">
        <v>715</v>
      </c>
      <c r="G32" s="11"/>
      <c r="H32" s="6"/>
    </row>
    <row r="33" spans="1:8" s="9" customFormat="1" ht="39" x14ac:dyDescent="0.35">
      <c r="A33" s="6"/>
      <c r="B33" s="34" t="s">
        <v>809</v>
      </c>
      <c r="C33" s="62"/>
      <c r="D33" s="8" t="s">
        <v>812</v>
      </c>
      <c r="E33" s="6"/>
      <c r="F33" s="8" t="s">
        <v>713</v>
      </c>
      <c r="G33" s="11"/>
      <c r="H33" s="6"/>
    </row>
    <row r="34" spans="1:8" s="9" customFormat="1" ht="26" x14ac:dyDescent="0.35">
      <c r="A34" s="6"/>
      <c r="B34" s="34" t="s">
        <v>809</v>
      </c>
      <c r="C34" s="62"/>
      <c r="D34" s="51" t="s">
        <v>815</v>
      </c>
      <c r="E34" s="6"/>
      <c r="F34" s="8" t="s">
        <v>894</v>
      </c>
      <c r="G34" s="11"/>
      <c r="H34" s="6"/>
    </row>
    <row r="35" spans="1:8" s="9" customFormat="1" ht="65" x14ac:dyDescent="0.35">
      <c r="A35" s="6">
        <v>33</v>
      </c>
      <c r="B35" s="51" t="s">
        <v>818</v>
      </c>
      <c r="C35" s="62"/>
      <c r="D35" s="8" t="s">
        <v>821</v>
      </c>
      <c r="E35" s="6" t="s">
        <v>353</v>
      </c>
      <c r="F35" s="8" t="s">
        <v>895</v>
      </c>
      <c r="G35" s="11"/>
      <c r="H35" s="6"/>
    </row>
    <row r="36" spans="1:8" s="9" customFormat="1" ht="26" x14ac:dyDescent="0.3">
      <c r="A36" s="72">
        <v>34</v>
      </c>
      <c r="B36" s="51" t="s">
        <v>818</v>
      </c>
      <c r="C36" s="62"/>
      <c r="D36" s="8" t="s">
        <v>718</v>
      </c>
      <c r="E36" s="6" t="s">
        <v>353</v>
      </c>
      <c r="F36" s="8" t="s">
        <v>719</v>
      </c>
      <c r="G36" s="11"/>
      <c r="H36" s="6"/>
    </row>
    <row r="37" spans="1:8" ht="52" x14ac:dyDescent="0.35">
      <c r="A37" s="72">
        <v>37</v>
      </c>
      <c r="B37" s="7" t="s">
        <v>833</v>
      </c>
      <c r="C37" s="57"/>
      <c r="D37" s="6" t="s">
        <v>301</v>
      </c>
      <c r="E37" s="6" t="s">
        <v>726</v>
      </c>
      <c r="F37" s="8" t="s">
        <v>727</v>
      </c>
      <c r="G37" s="11"/>
      <c r="H37" s="6"/>
    </row>
    <row r="38" spans="1:8" ht="26" x14ac:dyDescent="0.35">
      <c r="A38" s="6">
        <v>38</v>
      </c>
      <c r="B38" s="7" t="s">
        <v>833</v>
      </c>
      <c r="C38" s="57"/>
      <c r="D38" s="51" t="s">
        <v>836</v>
      </c>
      <c r="E38" s="6" t="s">
        <v>726</v>
      </c>
      <c r="F38" s="8" t="s">
        <v>896</v>
      </c>
      <c r="G38" s="11"/>
      <c r="H38" s="6"/>
    </row>
    <row r="39" spans="1:8" s="9" customFormat="1" ht="91" x14ac:dyDescent="0.35">
      <c r="A39" s="6">
        <v>27</v>
      </c>
      <c r="B39" s="7" t="s">
        <v>838</v>
      </c>
      <c r="C39" s="6"/>
      <c r="D39" s="6" t="s">
        <v>545</v>
      </c>
      <c r="E39" s="6" t="s">
        <v>353</v>
      </c>
      <c r="F39" s="8" t="s">
        <v>897</v>
      </c>
      <c r="G39" s="11"/>
      <c r="H39" s="6"/>
    </row>
    <row r="40" spans="1:8" s="9" customFormat="1" ht="26" x14ac:dyDescent="0.3">
      <c r="A40" s="72">
        <v>28</v>
      </c>
      <c r="B40" s="7" t="s">
        <v>838</v>
      </c>
      <c r="C40" s="6"/>
      <c r="D40" s="6" t="s">
        <v>705</v>
      </c>
      <c r="E40" s="6" t="s">
        <v>353</v>
      </c>
      <c r="F40" s="8" t="s">
        <v>706</v>
      </c>
      <c r="G40" s="11"/>
      <c r="H40" s="6"/>
    </row>
    <row r="41" spans="1:8" ht="52" x14ac:dyDescent="0.35">
      <c r="A41" s="6">
        <v>39</v>
      </c>
      <c r="B41" s="7" t="s">
        <v>673</v>
      </c>
      <c r="D41" s="19" t="s">
        <v>898</v>
      </c>
      <c r="E41" s="6" t="s">
        <v>359</v>
      </c>
      <c r="F41" s="105" t="s">
        <v>674</v>
      </c>
      <c r="G41" s="11"/>
    </row>
    <row r="47" spans="1:8" x14ac:dyDescent="0.35">
      <c r="C47" t="s">
        <v>553</v>
      </c>
    </row>
  </sheetData>
  <phoneticPr fontId="1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6086-D656-42B8-A0E4-72EDCC22D128}">
  <dimension ref="A1:E117"/>
  <sheetViews>
    <sheetView topLeftCell="A52" zoomScale="89" zoomScaleNormal="89" workbookViewId="0">
      <selection activeCell="B53" sqref="B53"/>
    </sheetView>
  </sheetViews>
  <sheetFormatPr defaultColWidth="8.81640625" defaultRowHeight="13" x14ac:dyDescent="0.3"/>
  <cols>
    <col min="1" max="1" width="13" style="106" customWidth="1"/>
    <col min="2" max="2" width="27.453125" style="106" customWidth="1"/>
    <col min="3" max="3" width="39.26953125" style="106" customWidth="1"/>
    <col min="4" max="4" width="33" style="106" customWidth="1"/>
    <col min="5" max="5" width="25.7265625" style="106" customWidth="1"/>
    <col min="6" max="16384" width="8.81640625" style="106"/>
  </cols>
  <sheetData>
    <row r="1" spans="1:5" x14ac:dyDescent="0.3">
      <c r="A1" s="51" t="s">
        <v>899</v>
      </c>
      <c r="B1" s="51" t="s">
        <v>338</v>
      </c>
      <c r="C1" s="51" t="s">
        <v>900</v>
      </c>
      <c r="D1" s="51" t="s">
        <v>901</v>
      </c>
      <c r="E1" s="51" t="s">
        <v>198</v>
      </c>
    </row>
    <row r="2" spans="1:5" x14ac:dyDescent="0.3">
      <c r="A2" s="51" t="s">
        <v>865</v>
      </c>
      <c r="B2" s="51" t="s">
        <v>902</v>
      </c>
      <c r="C2" s="51" t="s">
        <v>903</v>
      </c>
      <c r="D2" s="51" t="s">
        <v>904</v>
      </c>
      <c r="E2" s="51" t="s">
        <v>905</v>
      </c>
    </row>
    <row r="3" spans="1:5" x14ac:dyDescent="0.3">
      <c r="A3" s="51" t="s">
        <v>865</v>
      </c>
      <c r="B3" s="51" t="s">
        <v>902</v>
      </c>
      <c r="C3" s="51" t="s">
        <v>906</v>
      </c>
      <c r="D3" s="107" t="s">
        <v>907</v>
      </c>
      <c r="E3" s="51"/>
    </row>
    <row r="4" spans="1:5" x14ac:dyDescent="0.3">
      <c r="A4" s="51" t="s">
        <v>865</v>
      </c>
      <c r="B4" s="51" t="s">
        <v>908</v>
      </c>
      <c r="C4" s="51"/>
      <c r="D4" s="51" t="s">
        <v>69</v>
      </c>
      <c r="E4" s="51"/>
    </row>
    <row r="5" spans="1:5" x14ac:dyDescent="0.3">
      <c r="A5" s="51" t="s">
        <v>865</v>
      </c>
      <c r="B5" s="51" t="s">
        <v>909</v>
      </c>
      <c r="C5" s="51"/>
      <c r="D5" s="51" t="s">
        <v>21</v>
      </c>
      <c r="E5" s="51"/>
    </row>
    <row r="6" spans="1:5" x14ac:dyDescent="0.3">
      <c r="A6" s="51" t="s">
        <v>865</v>
      </c>
      <c r="B6" s="51" t="s">
        <v>910</v>
      </c>
      <c r="C6" s="51"/>
      <c r="D6" s="51" t="s">
        <v>69</v>
      </c>
      <c r="E6" s="51"/>
    </row>
    <row r="7" spans="1:5" x14ac:dyDescent="0.3">
      <c r="A7" s="51" t="s">
        <v>865</v>
      </c>
      <c r="B7" s="51" t="s">
        <v>365</v>
      </c>
      <c r="C7" s="51" t="s">
        <v>911</v>
      </c>
      <c r="D7" s="107" t="s">
        <v>912</v>
      </c>
      <c r="E7" s="51"/>
    </row>
    <row r="8" spans="1:5" x14ac:dyDescent="0.3">
      <c r="A8" s="51" t="s">
        <v>865</v>
      </c>
      <c r="B8" s="51" t="s">
        <v>870</v>
      </c>
      <c r="C8" s="51"/>
      <c r="D8" s="51" t="s">
        <v>913</v>
      </c>
      <c r="E8" s="51"/>
    </row>
    <row r="9" spans="1:5" ht="52" x14ac:dyDescent="0.3">
      <c r="A9" s="51" t="s">
        <v>865</v>
      </c>
      <c r="B9" s="51" t="s">
        <v>872</v>
      </c>
      <c r="C9" s="51" t="s">
        <v>914</v>
      </c>
      <c r="D9" s="51" t="s">
        <v>915</v>
      </c>
      <c r="E9" s="51"/>
    </row>
    <row r="10" spans="1:5" ht="39" x14ac:dyDescent="0.3">
      <c r="A10" s="51" t="s">
        <v>682</v>
      </c>
      <c r="B10" s="51" t="s">
        <v>916</v>
      </c>
      <c r="C10" s="51" t="s">
        <v>917</v>
      </c>
      <c r="D10" s="51" t="s">
        <v>69</v>
      </c>
      <c r="E10" s="51" t="s">
        <v>918</v>
      </c>
    </row>
    <row r="11" spans="1:5" ht="78" x14ac:dyDescent="0.3">
      <c r="A11" s="51" t="s">
        <v>682</v>
      </c>
      <c r="B11" s="51" t="s">
        <v>919</v>
      </c>
      <c r="C11" s="51" t="s">
        <v>920</v>
      </c>
      <c r="D11" s="51" t="s">
        <v>69</v>
      </c>
      <c r="E11" s="51"/>
    </row>
    <row r="12" spans="1:5" x14ac:dyDescent="0.3">
      <c r="A12" s="51" t="s">
        <v>682</v>
      </c>
      <c r="B12" s="51" t="s">
        <v>921</v>
      </c>
      <c r="C12" s="51" t="s">
        <v>922</v>
      </c>
      <c r="D12" s="51" t="s">
        <v>69</v>
      </c>
      <c r="E12" s="51"/>
    </row>
    <row r="13" spans="1:5" ht="52" x14ac:dyDescent="0.3">
      <c r="A13" s="51" t="s">
        <v>682</v>
      </c>
      <c r="B13" s="51" t="s">
        <v>921</v>
      </c>
      <c r="C13" s="51" t="s">
        <v>923</v>
      </c>
      <c r="D13" s="51" t="s">
        <v>924</v>
      </c>
      <c r="E13" s="51"/>
    </row>
    <row r="14" spans="1:5" x14ac:dyDescent="0.3">
      <c r="A14" s="51" t="s">
        <v>682</v>
      </c>
      <c r="B14" s="51" t="s">
        <v>921</v>
      </c>
      <c r="C14" s="51" t="s">
        <v>925</v>
      </c>
      <c r="D14" s="51" t="s">
        <v>69</v>
      </c>
      <c r="E14" s="51"/>
    </row>
    <row r="15" spans="1:5" ht="39" x14ac:dyDescent="0.3">
      <c r="A15" s="51" t="s">
        <v>682</v>
      </c>
      <c r="B15" s="51" t="s">
        <v>921</v>
      </c>
      <c r="C15" s="51" t="s">
        <v>926</v>
      </c>
      <c r="D15" s="51" t="s">
        <v>927</v>
      </c>
      <c r="E15" s="51"/>
    </row>
    <row r="16" spans="1:5" x14ac:dyDescent="0.3">
      <c r="A16" s="51" t="s">
        <v>682</v>
      </c>
      <c r="B16" s="51" t="s">
        <v>921</v>
      </c>
      <c r="C16" s="51" t="s">
        <v>928</v>
      </c>
      <c r="D16" s="51" t="s">
        <v>21</v>
      </c>
      <c r="E16" s="51"/>
    </row>
    <row r="17" spans="1:5" x14ac:dyDescent="0.3">
      <c r="A17" s="51" t="s">
        <v>198</v>
      </c>
      <c r="B17" s="51" t="s">
        <v>929</v>
      </c>
      <c r="C17" s="51" t="s">
        <v>930</v>
      </c>
      <c r="D17" s="51" t="s">
        <v>931</v>
      </c>
      <c r="E17" s="51"/>
    </row>
    <row r="18" spans="1:5" x14ac:dyDescent="0.3">
      <c r="A18" s="51" t="s">
        <v>198</v>
      </c>
      <c r="B18" s="51" t="s">
        <v>929</v>
      </c>
      <c r="C18" s="51" t="s">
        <v>932</v>
      </c>
      <c r="D18" s="51" t="s">
        <v>933</v>
      </c>
      <c r="E18" s="51"/>
    </row>
    <row r="19" spans="1:5" ht="26" x14ac:dyDescent="0.3">
      <c r="A19" s="51" t="s">
        <v>198</v>
      </c>
      <c r="B19" s="51" t="s">
        <v>934</v>
      </c>
      <c r="C19" s="51" t="s">
        <v>935</v>
      </c>
      <c r="D19" s="51" t="s">
        <v>931</v>
      </c>
      <c r="E19" s="51"/>
    </row>
    <row r="20" spans="1:5" ht="26" x14ac:dyDescent="0.3">
      <c r="A20" s="51" t="s">
        <v>198</v>
      </c>
      <c r="B20" s="51" t="s">
        <v>934</v>
      </c>
      <c r="C20" s="51" t="s">
        <v>936</v>
      </c>
      <c r="D20" s="51" t="s">
        <v>933</v>
      </c>
      <c r="E20" s="51"/>
    </row>
    <row r="21" spans="1:5" ht="26" x14ac:dyDescent="0.3">
      <c r="A21" s="51" t="s">
        <v>198</v>
      </c>
      <c r="B21" s="51" t="s">
        <v>937</v>
      </c>
      <c r="C21" s="51" t="s">
        <v>938</v>
      </c>
      <c r="D21" s="56" t="s">
        <v>939</v>
      </c>
      <c r="E21" s="56" t="s">
        <v>939</v>
      </c>
    </row>
    <row r="22" spans="1:5" ht="26" x14ac:dyDescent="0.3">
      <c r="A22" s="51" t="s">
        <v>198</v>
      </c>
      <c r="B22" s="51" t="s">
        <v>937</v>
      </c>
      <c r="C22" s="108" t="s">
        <v>940</v>
      </c>
      <c r="D22" s="56" t="s">
        <v>941</v>
      </c>
      <c r="E22" s="56" t="s">
        <v>942</v>
      </c>
    </row>
    <row r="23" spans="1:5" ht="26" x14ac:dyDescent="0.3">
      <c r="A23" s="51" t="s">
        <v>198</v>
      </c>
      <c r="B23" s="51" t="s">
        <v>937</v>
      </c>
      <c r="C23" s="51" t="s">
        <v>943</v>
      </c>
      <c r="D23" s="109">
        <v>800</v>
      </c>
      <c r="E23" s="109">
        <v>275000</v>
      </c>
    </row>
    <row r="24" spans="1:5" ht="26" x14ac:dyDescent="0.3">
      <c r="A24" s="51" t="s">
        <v>198</v>
      </c>
      <c r="B24" s="51" t="s">
        <v>937</v>
      </c>
      <c r="C24" s="51" t="s">
        <v>944</v>
      </c>
      <c r="D24" s="56" t="s">
        <v>945</v>
      </c>
      <c r="E24" s="56" t="s">
        <v>946</v>
      </c>
    </row>
    <row r="25" spans="1:5" ht="26" x14ac:dyDescent="0.3">
      <c r="A25" s="51" t="s">
        <v>198</v>
      </c>
      <c r="B25" s="51" t="s">
        <v>937</v>
      </c>
      <c r="C25" s="108" t="s">
        <v>947</v>
      </c>
      <c r="D25" s="56" t="s">
        <v>941</v>
      </c>
      <c r="E25" s="56" t="s">
        <v>948</v>
      </c>
    </row>
    <row r="26" spans="1:5" ht="26" x14ac:dyDescent="0.3">
      <c r="A26" s="51" t="s">
        <v>198</v>
      </c>
      <c r="B26" s="51" t="s">
        <v>937</v>
      </c>
      <c r="C26" s="108" t="s">
        <v>949</v>
      </c>
      <c r="D26" s="56" t="s">
        <v>941</v>
      </c>
      <c r="E26" s="56" t="s">
        <v>948</v>
      </c>
    </row>
    <row r="27" spans="1:5" ht="26" x14ac:dyDescent="0.3">
      <c r="A27" s="51" t="s">
        <v>198</v>
      </c>
      <c r="B27" s="51" t="s">
        <v>937</v>
      </c>
      <c r="C27" s="108" t="s">
        <v>950</v>
      </c>
      <c r="D27" s="56" t="s">
        <v>24</v>
      </c>
      <c r="E27" s="56" t="s">
        <v>25</v>
      </c>
    </row>
    <row r="28" spans="1:5" ht="26" x14ac:dyDescent="0.3">
      <c r="A28" s="51" t="s">
        <v>198</v>
      </c>
      <c r="B28" s="51" t="s">
        <v>937</v>
      </c>
      <c r="C28" s="51" t="s">
        <v>951</v>
      </c>
      <c r="D28" s="110" t="s">
        <v>952</v>
      </c>
      <c r="E28" s="110">
        <v>48814</v>
      </c>
    </row>
    <row r="29" spans="1:5" x14ac:dyDescent="0.3">
      <c r="A29" s="51" t="s">
        <v>198</v>
      </c>
      <c r="B29" s="51" t="s">
        <v>953</v>
      </c>
      <c r="C29" s="51" t="s">
        <v>954</v>
      </c>
      <c r="D29" s="51" t="s">
        <v>931</v>
      </c>
      <c r="E29" s="51"/>
    </row>
    <row r="30" spans="1:5" x14ac:dyDescent="0.3">
      <c r="A30" s="51" t="s">
        <v>198</v>
      </c>
      <c r="B30" s="51" t="s">
        <v>953</v>
      </c>
      <c r="C30" s="51" t="s">
        <v>955</v>
      </c>
      <c r="D30" s="51" t="s">
        <v>933</v>
      </c>
      <c r="E30" s="51"/>
    </row>
    <row r="31" spans="1:5" x14ac:dyDescent="0.3">
      <c r="A31" s="51" t="s">
        <v>198</v>
      </c>
      <c r="B31" s="51" t="s">
        <v>956</v>
      </c>
      <c r="C31" s="51"/>
      <c r="D31" s="51"/>
      <c r="E31" s="51"/>
    </row>
    <row r="32" spans="1:5" ht="26" x14ac:dyDescent="0.3">
      <c r="A32" s="51" t="s">
        <v>198</v>
      </c>
      <c r="B32" s="51" t="s">
        <v>957</v>
      </c>
      <c r="C32" s="51" t="s">
        <v>958</v>
      </c>
      <c r="D32" s="51" t="s">
        <v>931</v>
      </c>
      <c r="E32" s="51"/>
    </row>
    <row r="33" spans="1:5" ht="26" x14ac:dyDescent="0.3">
      <c r="A33" s="51" t="s">
        <v>198</v>
      </c>
      <c r="B33" s="51" t="s">
        <v>957</v>
      </c>
      <c r="C33" s="51" t="s">
        <v>959</v>
      </c>
      <c r="D33" s="51" t="s">
        <v>933</v>
      </c>
      <c r="E33" s="51"/>
    </row>
    <row r="34" spans="1:5" ht="26" x14ac:dyDescent="0.3">
      <c r="A34" s="51" t="s">
        <v>198</v>
      </c>
      <c r="B34" s="51" t="s">
        <v>960</v>
      </c>
      <c r="C34" s="51" t="s">
        <v>961</v>
      </c>
      <c r="D34" s="51"/>
      <c r="E34" s="51"/>
    </row>
    <row r="35" spans="1:5" ht="26" x14ac:dyDescent="0.3">
      <c r="A35" s="51" t="s">
        <v>198</v>
      </c>
      <c r="B35" s="51" t="s">
        <v>960</v>
      </c>
      <c r="C35" s="51" t="s">
        <v>962</v>
      </c>
      <c r="D35" s="51"/>
      <c r="E35" s="51"/>
    </row>
    <row r="36" spans="1:5" ht="26" x14ac:dyDescent="0.3">
      <c r="A36" s="51" t="s">
        <v>198</v>
      </c>
      <c r="B36" s="51" t="s">
        <v>960</v>
      </c>
      <c r="C36" s="108" t="s">
        <v>963</v>
      </c>
      <c r="D36" s="51"/>
      <c r="E36" s="51"/>
    </row>
    <row r="37" spans="1:5" ht="26" x14ac:dyDescent="0.3">
      <c r="A37" s="51" t="s">
        <v>198</v>
      </c>
      <c r="B37" s="51" t="s">
        <v>960</v>
      </c>
      <c r="C37" s="51" t="s">
        <v>964</v>
      </c>
      <c r="D37" s="51"/>
      <c r="E37" s="51"/>
    </row>
    <row r="38" spans="1:5" ht="26" x14ac:dyDescent="0.3">
      <c r="A38" s="51" t="s">
        <v>198</v>
      </c>
      <c r="B38" s="51" t="s">
        <v>960</v>
      </c>
      <c r="C38" s="108" t="s">
        <v>965</v>
      </c>
      <c r="D38" s="51"/>
      <c r="E38" s="51"/>
    </row>
    <row r="39" spans="1:5" ht="26" x14ac:dyDescent="0.3">
      <c r="A39" s="51" t="s">
        <v>198</v>
      </c>
      <c r="B39" s="51" t="s">
        <v>960</v>
      </c>
      <c r="C39" s="51" t="s">
        <v>966</v>
      </c>
      <c r="D39" s="51"/>
      <c r="E39" s="51"/>
    </row>
    <row r="40" spans="1:5" x14ac:dyDescent="0.3">
      <c r="A40" s="51" t="s">
        <v>198</v>
      </c>
      <c r="B40" s="51" t="s">
        <v>967</v>
      </c>
      <c r="C40" s="51" t="s">
        <v>968</v>
      </c>
      <c r="D40" s="51" t="s">
        <v>931</v>
      </c>
      <c r="E40" s="51"/>
    </row>
    <row r="41" spans="1:5" x14ac:dyDescent="0.3">
      <c r="A41" s="51" t="s">
        <v>198</v>
      </c>
      <c r="B41" s="51" t="s">
        <v>967</v>
      </c>
      <c r="C41" s="51" t="s">
        <v>969</v>
      </c>
      <c r="D41" s="51" t="s">
        <v>933</v>
      </c>
      <c r="E41" s="51"/>
    </row>
    <row r="42" spans="1:5" x14ac:dyDescent="0.3">
      <c r="A42" s="51" t="s">
        <v>198</v>
      </c>
      <c r="B42" s="51" t="s">
        <v>970</v>
      </c>
      <c r="C42" s="51"/>
      <c r="D42" s="51"/>
      <c r="E42" s="51"/>
    </row>
    <row r="43" spans="1:5" ht="26" x14ac:dyDescent="0.3">
      <c r="A43" s="51" t="s">
        <v>198</v>
      </c>
      <c r="B43" s="51" t="s">
        <v>971</v>
      </c>
      <c r="C43" s="51" t="s">
        <v>972</v>
      </c>
      <c r="D43" s="51" t="s">
        <v>931</v>
      </c>
      <c r="E43" s="51"/>
    </row>
    <row r="44" spans="1:5" ht="26" x14ac:dyDescent="0.3">
      <c r="A44" s="51" t="s">
        <v>198</v>
      </c>
      <c r="B44" s="51" t="s">
        <v>971</v>
      </c>
      <c r="C44" s="51" t="s">
        <v>973</v>
      </c>
      <c r="D44" s="51" t="s">
        <v>933</v>
      </c>
      <c r="E44" s="51"/>
    </row>
    <row r="45" spans="1:5" ht="26" x14ac:dyDescent="0.3">
      <c r="A45" s="51" t="s">
        <v>198</v>
      </c>
      <c r="B45" s="51" t="s">
        <v>974</v>
      </c>
      <c r="C45" s="51"/>
      <c r="D45" s="51"/>
      <c r="E45" s="51"/>
    </row>
    <row r="46" spans="1:5" ht="26" x14ac:dyDescent="0.3">
      <c r="A46" s="51" t="s">
        <v>198</v>
      </c>
      <c r="B46" s="51" t="s">
        <v>975</v>
      </c>
      <c r="C46" s="51" t="s">
        <v>976</v>
      </c>
      <c r="D46" s="51" t="s">
        <v>931</v>
      </c>
      <c r="E46" s="51"/>
    </row>
    <row r="47" spans="1:5" ht="26" x14ac:dyDescent="0.3">
      <c r="A47" s="51" t="s">
        <v>198</v>
      </c>
      <c r="B47" s="51" t="s">
        <v>975</v>
      </c>
      <c r="C47" s="51" t="s">
        <v>977</v>
      </c>
      <c r="D47" s="51" t="s">
        <v>933</v>
      </c>
      <c r="E47" s="51"/>
    </row>
    <row r="48" spans="1:5" ht="26" x14ac:dyDescent="0.3">
      <c r="A48" s="51" t="s">
        <v>198</v>
      </c>
      <c r="B48" s="51" t="s">
        <v>978</v>
      </c>
      <c r="C48" s="51"/>
      <c r="D48" s="51"/>
      <c r="E48" s="51"/>
    </row>
    <row r="49" spans="1:5" x14ac:dyDescent="0.3">
      <c r="A49" s="51" t="s">
        <v>198</v>
      </c>
      <c r="B49" s="51" t="s">
        <v>979</v>
      </c>
      <c r="C49" s="51" t="s">
        <v>980</v>
      </c>
      <c r="D49" s="51" t="s">
        <v>931</v>
      </c>
      <c r="E49" s="51"/>
    </row>
    <row r="50" spans="1:5" x14ac:dyDescent="0.3">
      <c r="A50" s="51" t="s">
        <v>198</v>
      </c>
      <c r="B50" s="51" t="s">
        <v>979</v>
      </c>
      <c r="C50" s="51" t="s">
        <v>981</v>
      </c>
      <c r="D50" s="51" t="s">
        <v>933</v>
      </c>
      <c r="E50" s="51"/>
    </row>
    <row r="51" spans="1:5" x14ac:dyDescent="0.3">
      <c r="A51" s="51" t="s">
        <v>198</v>
      </c>
      <c r="B51" s="51" t="s">
        <v>982</v>
      </c>
      <c r="C51" s="51"/>
      <c r="D51" s="51"/>
      <c r="E51" s="51"/>
    </row>
    <row r="52" spans="1:5" x14ac:dyDescent="0.3">
      <c r="A52" s="51" t="s">
        <v>198</v>
      </c>
      <c r="B52" s="51" t="s">
        <v>983</v>
      </c>
      <c r="C52" s="51" t="s">
        <v>984</v>
      </c>
      <c r="D52" s="51" t="s">
        <v>931</v>
      </c>
      <c r="E52" s="51"/>
    </row>
    <row r="53" spans="1:5" x14ac:dyDescent="0.3">
      <c r="A53" s="51" t="s">
        <v>198</v>
      </c>
      <c r="B53" s="51" t="s">
        <v>983</v>
      </c>
      <c r="C53" s="51" t="s">
        <v>985</v>
      </c>
      <c r="D53" s="51" t="s">
        <v>933</v>
      </c>
      <c r="E53" s="51"/>
    </row>
    <row r="54" spans="1:5" x14ac:dyDescent="0.3">
      <c r="A54" s="51" t="s">
        <v>198</v>
      </c>
      <c r="B54" s="51" t="s">
        <v>986</v>
      </c>
      <c r="C54" s="51"/>
      <c r="D54" s="51"/>
      <c r="E54" s="51"/>
    </row>
    <row r="55" spans="1:5" x14ac:dyDescent="0.3">
      <c r="A55" s="51" t="s">
        <v>198</v>
      </c>
      <c r="B55" s="51" t="s">
        <v>987</v>
      </c>
      <c r="C55" s="51" t="s">
        <v>988</v>
      </c>
      <c r="D55" s="51" t="s">
        <v>931</v>
      </c>
      <c r="E55" s="51"/>
    </row>
    <row r="56" spans="1:5" x14ac:dyDescent="0.3">
      <c r="A56" s="51" t="s">
        <v>198</v>
      </c>
      <c r="B56" s="51" t="s">
        <v>987</v>
      </c>
      <c r="C56" s="51" t="s">
        <v>989</v>
      </c>
      <c r="D56" s="51" t="s">
        <v>933</v>
      </c>
      <c r="E56" s="51"/>
    </row>
    <row r="57" spans="1:5" x14ac:dyDescent="0.3">
      <c r="A57" s="51" t="s">
        <v>198</v>
      </c>
      <c r="B57" s="51" t="s">
        <v>990</v>
      </c>
      <c r="C57" s="51"/>
      <c r="D57" s="51"/>
      <c r="E57" s="51"/>
    </row>
    <row r="58" spans="1:5" x14ac:dyDescent="0.3">
      <c r="A58" s="51" t="s">
        <v>991</v>
      </c>
      <c r="B58" s="51" t="s">
        <v>992</v>
      </c>
      <c r="C58" s="51" t="s">
        <v>993</v>
      </c>
      <c r="D58" s="56" t="s">
        <v>994</v>
      </c>
      <c r="E58" s="51" t="s">
        <v>995</v>
      </c>
    </row>
    <row r="59" spans="1:5" ht="26" x14ac:dyDescent="0.3">
      <c r="A59" s="51" t="s">
        <v>991</v>
      </c>
      <c r="B59" s="51" t="s">
        <v>992</v>
      </c>
      <c r="C59" s="51" t="s">
        <v>996</v>
      </c>
      <c r="D59" s="56" t="s">
        <v>997</v>
      </c>
      <c r="E59" s="51"/>
    </row>
    <row r="60" spans="1:5" x14ac:dyDescent="0.3">
      <c r="A60" s="51" t="s">
        <v>991</v>
      </c>
      <c r="B60" s="51" t="s">
        <v>992</v>
      </c>
      <c r="C60" s="51" t="s">
        <v>862</v>
      </c>
      <c r="D60" s="56" t="s">
        <v>998</v>
      </c>
      <c r="E60" s="51"/>
    </row>
    <row r="61" spans="1:5" x14ac:dyDescent="0.3">
      <c r="A61" s="51" t="s">
        <v>991</v>
      </c>
      <c r="B61" s="51" t="s">
        <v>992</v>
      </c>
      <c r="C61" s="51" t="s">
        <v>849</v>
      </c>
      <c r="D61" s="111">
        <v>1000000</v>
      </c>
      <c r="E61" s="51"/>
    </row>
    <row r="62" spans="1:5" x14ac:dyDescent="0.3">
      <c r="A62" s="51" t="s">
        <v>991</v>
      </c>
      <c r="B62" s="51" t="s">
        <v>992</v>
      </c>
      <c r="C62" s="51" t="s">
        <v>999</v>
      </c>
      <c r="D62" s="111">
        <v>50000</v>
      </c>
      <c r="E62" s="51"/>
    </row>
    <row r="63" spans="1:5" x14ac:dyDescent="0.3">
      <c r="A63" s="51" t="s">
        <v>991</v>
      </c>
      <c r="B63" s="51" t="s">
        <v>992</v>
      </c>
      <c r="C63" s="51" t="s">
        <v>1000</v>
      </c>
      <c r="D63" s="112">
        <v>50010</v>
      </c>
      <c r="E63" s="51"/>
    </row>
    <row r="64" spans="1:5" x14ac:dyDescent="0.3">
      <c r="A64" s="51" t="s">
        <v>991</v>
      </c>
      <c r="B64" s="51" t="s">
        <v>992</v>
      </c>
      <c r="C64" s="51" t="s">
        <v>860</v>
      </c>
      <c r="D64" s="56" t="s">
        <v>1001</v>
      </c>
      <c r="E64" s="51"/>
    </row>
    <row r="65" spans="1:5" x14ac:dyDescent="0.3">
      <c r="A65" s="51" t="s">
        <v>991</v>
      </c>
      <c r="B65" s="51" t="s">
        <v>992</v>
      </c>
      <c r="C65" s="51" t="s">
        <v>1002</v>
      </c>
      <c r="D65" s="110">
        <v>46014</v>
      </c>
      <c r="E65" s="51"/>
    </row>
    <row r="66" spans="1:5" s="124" customFormat="1" x14ac:dyDescent="0.3">
      <c r="A66" s="56" t="s">
        <v>991</v>
      </c>
      <c r="B66" s="56" t="s">
        <v>1003</v>
      </c>
      <c r="C66" s="56" t="s">
        <v>1004</v>
      </c>
      <c r="D66" s="56" t="s">
        <v>1005</v>
      </c>
      <c r="E66" s="56"/>
    </row>
    <row r="67" spans="1:5" s="124" customFormat="1" ht="26" x14ac:dyDescent="0.3">
      <c r="A67" s="56" t="s">
        <v>991</v>
      </c>
      <c r="B67" s="56" t="s">
        <v>1003</v>
      </c>
      <c r="C67" s="56" t="s">
        <v>1006</v>
      </c>
      <c r="D67" s="56" t="s">
        <v>1007</v>
      </c>
      <c r="E67" s="56"/>
    </row>
    <row r="68" spans="1:5" s="124" customFormat="1" ht="52" x14ac:dyDescent="0.3">
      <c r="A68" s="56" t="s">
        <v>991</v>
      </c>
      <c r="B68" s="56" t="s">
        <v>1003</v>
      </c>
      <c r="C68" s="56" t="s">
        <v>1008</v>
      </c>
      <c r="D68" s="56" t="s">
        <v>1009</v>
      </c>
      <c r="E68" s="56" t="s">
        <v>1010</v>
      </c>
    </row>
    <row r="69" spans="1:5" x14ac:dyDescent="0.3">
      <c r="A69" s="51" t="s">
        <v>991</v>
      </c>
      <c r="B69" s="51" t="s">
        <v>1011</v>
      </c>
      <c r="C69" s="51" t="s">
        <v>1012</v>
      </c>
      <c r="D69" s="51" t="s">
        <v>1013</v>
      </c>
      <c r="E69" s="51"/>
    </row>
    <row r="70" spans="1:5" x14ac:dyDescent="0.3">
      <c r="A70" s="51" t="s">
        <v>991</v>
      </c>
      <c r="B70" s="51" t="s">
        <v>1011</v>
      </c>
      <c r="C70" s="51" t="s">
        <v>851</v>
      </c>
      <c r="D70" s="51" t="s">
        <v>1014</v>
      </c>
      <c r="E70" s="51"/>
    </row>
    <row r="71" spans="1:5" x14ac:dyDescent="0.3">
      <c r="A71" s="51" t="s">
        <v>991</v>
      </c>
      <c r="B71" s="51" t="s">
        <v>1011</v>
      </c>
      <c r="C71" s="51" t="s">
        <v>853</v>
      </c>
      <c r="D71" s="51" t="s">
        <v>1015</v>
      </c>
      <c r="E71" s="51"/>
    </row>
    <row r="72" spans="1:5" x14ac:dyDescent="0.3">
      <c r="A72" s="51" t="s">
        <v>991</v>
      </c>
      <c r="B72" s="51" t="s">
        <v>1011</v>
      </c>
      <c r="C72" s="51" t="s">
        <v>855</v>
      </c>
      <c r="D72" s="51" t="s">
        <v>1016</v>
      </c>
      <c r="E72" s="51"/>
    </row>
    <row r="73" spans="1:5" x14ac:dyDescent="0.3">
      <c r="A73" s="51" t="s">
        <v>991</v>
      </c>
      <c r="B73" s="51" t="s">
        <v>1011</v>
      </c>
      <c r="C73" s="51" t="s">
        <v>857</v>
      </c>
      <c r="D73" s="51" t="s">
        <v>39</v>
      </c>
      <c r="E73" s="51"/>
    </row>
    <row r="74" spans="1:5" ht="26" x14ac:dyDescent="0.3">
      <c r="A74" s="51" t="s">
        <v>991</v>
      </c>
      <c r="B74" s="51" t="s">
        <v>1017</v>
      </c>
      <c r="C74" s="51" t="s">
        <v>860</v>
      </c>
      <c r="D74" s="51" t="s">
        <v>1018</v>
      </c>
      <c r="E74" s="51"/>
    </row>
    <row r="75" spans="1:5" ht="26" x14ac:dyDescent="0.3">
      <c r="A75" s="51" t="s">
        <v>991</v>
      </c>
      <c r="B75" s="51" t="s">
        <v>1017</v>
      </c>
      <c r="C75" s="51" t="s">
        <v>862</v>
      </c>
      <c r="D75" s="51" t="s">
        <v>1019</v>
      </c>
      <c r="E75" s="51"/>
    </row>
    <row r="76" spans="1:5" ht="26" x14ac:dyDescent="0.3">
      <c r="A76" s="51" t="s">
        <v>1020</v>
      </c>
      <c r="B76" s="51" t="s">
        <v>1021</v>
      </c>
      <c r="C76" s="51" t="s">
        <v>1022</v>
      </c>
      <c r="D76" s="113" t="s">
        <v>1023</v>
      </c>
      <c r="E76" s="51" t="s">
        <v>1024</v>
      </c>
    </row>
    <row r="77" spans="1:5" x14ac:dyDescent="0.3">
      <c r="A77" s="51" t="s">
        <v>1020</v>
      </c>
      <c r="B77" s="51" t="s">
        <v>1021</v>
      </c>
      <c r="C77" s="51" t="s">
        <v>1025</v>
      </c>
      <c r="D77" s="51" t="s">
        <v>1026</v>
      </c>
      <c r="E77" s="51"/>
    </row>
    <row r="78" spans="1:5" x14ac:dyDescent="0.3">
      <c r="A78" s="51" t="s">
        <v>1020</v>
      </c>
      <c r="B78" s="51" t="s">
        <v>1021</v>
      </c>
      <c r="C78" s="51" t="s">
        <v>1027</v>
      </c>
      <c r="D78" s="51" t="s">
        <v>933</v>
      </c>
      <c r="E78" s="51"/>
    </row>
    <row r="79" spans="1:5" x14ac:dyDescent="0.3">
      <c r="A79" s="51" t="s">
        <v>1028</v>
      </c>
      <c r="B79" s="51" t="s">
        <v>1029</v>
      </c>
      <c r="C79" s="51" t="s">
        <v>1030</v>
      </c>
      <c r="D79" s="51" t="s">
        <v>1031</v>
      </c>
      <c r="E79" s="51" t="s">
        <v>1032</v>
      </c>
    </row>
    <row r="80" spans="1:5" x14ac:dyDescent="0.3">
      <c r="A80" s="51" t="s">
        <v>1028</v>
      </c>
      <c r="B80" s="51" t="s">
        <v>1029</v>
      </c>
      <c r="C80" s="51" t="s">
        <v>1033</v>
      </c>
      <c r="D80" s="51" t="s">
        <v>1034</v>
      </c>
      <c r="E80" s="51"/>
    </row>
    <row r="81" spans="1:5" ht="26" x14ac:dyDescent="0.3">
      <c r="A81" s="51" t="s">
        <v>1028</v>
      </c>
      <c r="B81" s="51" t="s">
        <v>1029</v>
      </c>
      <c r="C81" s="51" t="s">
        <v>1035</v>
      </c>
      <c r="D81" s="51" t="s">
        <v>1036</v>
      </c>
      <c r="E81" s="51"/>
    </row>
    <row r="82" spans="1:5" x14ac:dyDescent="0.3">
      <c r="A82" s="51" t="s">
        <v>1028</v>
      </c>
      <c r="B82" s="51" t="s">
        <v>1029</v>
      </c>
      <c r="C82" s="51" t="s">
        <v>1037</v>
      </c>
      <c r="D82" s="51" t="s">
        <v>1038</v>
      </c>
      <c r="E82" s="51"/>
    </row>
    <row r="83" spans="1:5" x14ac:dyDescent="0.3">
      <c r="A83" s="51" t="s">
        <v>1028</v>
      </c>
      <c r="B83" s="51" t="s">
        <v>1029</v>
      </c>
      <c r="C83" s="51" t="s">
        <v>1039</v>
      </c>
      <c r="D83" s="51" t="s">
        <v>45</v>
      </c>
      <c r="E83" s="51" t="s">
        <v>1040</v>
      </c>
    </row>
    <row r="84" spans="1:5" x14ac:dyDescent="0.3">
      <c r="A84" s="51" t="s">
        <v>1028</v>
      </c>
      <c r="B84" s="51" t="s">
        <v>1029</v>
      </c>
      <c r="C84" s="51" t="s">
        <v>1041</v>
      </c>
      <c r="D84" s="51" t="s">
        <v>1042</v>
      </c>
      <c r="E84" s="51"/>
    </row>
    <row r="85" spans="1:5" ht="26" x14ac:dyDescent="0.3">
      <c r="A85" s="51" t="s">
        <v>1028</v>
      </c>
      <c r="B85" s="51" t="s">
        <v>1043</v>
      </c>
      <c r="C85" s="51"/>
      <c r="D85" s="51" t="s">
        <v>1044</v>
      </c>
      <c r="E85" s="51"/>
    </row>
    <row r="86" spans="1:5" x14ac:dyDescent="0.3">
      <c r="A86" s="51" t="s">
        <v>1028</v>
      </c>
      <c r="B86" s="51" t="s">
        <v>1045</v>
      </c>
      <c r="C86" s="51" t="s">
        <v>944</v>
      </c>
      <c r="D86" s="51"/>
      <c r="E86" s="51"/>
    </row>
    <row r="87" spans="1:5" ht="26" x14ac:dyDescent="0.3">
      <c r="A87" s="51" t="s">
        <v>1028</v>
      </c>
      <c r="B87" s="51" t="s">
        <v>1045</v>
      </c>
      <c r="C87" s="51" t="s">
        <v>1046</v>
      </c>
      <c r="D87" s="51" t="s">
        <v>1013</v>
      </c>
      <c r="E87" s="51"/>
    </row>
    <row r="88" spans="1:5" ht="26" x14ac:dyDescent="0.3">
      <c r="A88" s="51" t="s">
        <v>1028</v>
      </c>
      <c r="B88" s="51" t="s">
        <v>1045</v>
      </c>
      <c r="C88" s="51" t="s">
        <v>1047</v>
      </c>
      <c r="D88" s="51" t="s">
        <v>1048</v>
      </c>
      <c r="E88" s="51"/>
    </row>
    <row r="89" spans="1:5" x14ac:dyDescent="0.3">
      <c r="A89" s="51" t="s">
        <v>1028</v>
      </c>
      <c r="B89" s="51" t="s">
        <v>1045</v>
      </c>
      <c r="C89" s="51" t="s">
        <v>1049</v>
      </c>
      <c r="D89" s="51" t="s">
        <v>45</v>
      </c>
      <c r="E89" s="51"/>
    </row>
    <row r="90" spans="1:5" ht="26" x14ac:dyDescent="0.3">
      <c r="A90" s="51" t="s">
        <v>1028</v>
      </c>
      <c r="B90" s="51" t="s">
        <v>1045</v>
      </c>
      <c r="C90" s="51" t="s">
        <v>1050</v>
      </c>
      <c r="D90" s="51" t="s">
        <v>1051</v>
      </c>
      <c r="E90" s="51"/>
    </row>
    <row r="91" spans="1:5" x14ac:dyDescent="0.3">
      <c r="A91" s="51" t="s">
        <v>1028</v>
      </c>
      <c r="B91" s="114" t="s">
        <v>1052</v>
      </c>
      <c r="C91" s="114"/>
      <c r="D91" s="114" t="s">
        <v>1053</v>
      </c>
      <c r="E91" s="51"/>
    </row>
    <row r="92" spans="1:5" x14ac:dyDescent="0.3">
      <c r="A92" s="51" t="s">
        <v>1028</v>
      </c>
      <c r="B92" s="114" t="s">
        <v>1054</v>
      </c>
      <c r="C92" s="51" t="s">
        <v>1055</v>
      </c>
      <c r="D92" s="51" t="s">
        <v>45</v>
      </c>
      <c r="E92" s="51"/>
    </row>
    <row r="93" spans="1:5" x14ac:dyDescent="0.3">
      <c r="A93" s="51" t="s">
        <v>1028</v>
      </c>
      <c r="B93" s="114" t="s">
        <v>1054</v>
      </c>
      <c r="C93" s="51" t="s">
        <v>1056</v>
      </c>
      <c r="D93" s="51" t="s">
        <v>45</v>
      </c>
      <c r="E93" s="51"/>
    </row>
    <row r="94" spans="1:5" x14ac:dyDescent="0.3">
      <c r="A94" s="51" t="s">
        <v>1028</v>
      </c>
      <c r="B94" s="114" t="s">
        <v>1054</v>
      </c>
      <c r="C94" s="51" t="s">
        <v>1057</v>
      </c>
      <c r="D94" s="51" t="s">
        <v>1058</v>
      </c>
      <c r="E94" s="51"/>
    </row>
    <row r="95" spans="1:5" x14ac:dyDescent="0.3">
      <c r="A95" s="51" t="s">
        <v>1028</v>
      </c>
      <c r="B95" s="114" t="s">
        <v>1054</v>
      </c>
      <c r="C95" s="51" t="s">
        <v>1059</v>
      </c>
      <c r="D95" s="51" t="s">
        <v>45</v>
      </c>
      <c r="E95" s="51"/>
    </row>
    <row r="96" spans="1:5" ht="52" x14ac:dyDescent="0.3">
      <c r="A96" s="51" t="s">
        <v>1028</v>
      </c>
      <c r="B96" s="114" t="s">
        <v>1054</v>
      </c>
      <c r="C96" s="51" t="s">
        <v>1060</v>
      </c>
      <c r="D96" s="51" t="s">
        <v>1061</v>
      </c>
      <c r="E96" s="51" t="s">
        <v>1062</v>
      </c>
    </row>
    <row r="97" spans="1:5" x14ac:dyDescent="0.3">
      <c r="A97" s="51" t="s">
        <v>1028</v>
      </c>
      <c r="B97" s="114" t="s">
        <v>1054</v>
      </c>
      <c r="C97" s="51" t="s">
        <v>1063</v>
      </c>
      <c r="D97" s="51" t="s">
        <v>1064</v>
      </c>
      <c r="E97" s="51"/>
    </row>
    <row r="98" spans="1:5" x14ac:dyDescent="0.3">
      <c r="A98" s="51" t="s">
        <v>1028</v>
      </c>
      <c r="B98" s="114" t="s">
        <v>1054</v>
      </c>
      <c r="C98" s="51" t="s">
        <v>1063</v>
      </c>
      <c r="D98" s="51" t="s">
        <v>1065</v>
      </c>
      <c r="E98" s="51"/>
    </row>
    <row r="99" spans="1:5" x14ac:dyDescent="0.3">
      <c r="A99" s="51" t="s">
        <v>1028</v>
      </c>
      <c r="B99" s="114" t="s">
        <v>1054</v>
      </c>
      <c r="C99" s="51" t="s">
        <v>1063</v>
      </c>
      <c r="D99" s="51" t="s">
        <v>1066</v>
      </c>
      <c r="E99" s="51"/>
    </row>
    <row r="100" spans="1:5" x14ac:dyDescent="0.3">
      <c r="A100" s="51" t="s">
        <v>1028</v>
      </c>
      <c r="B100" s="114" t="s">
        <v>1054</v>
      </c>
      <c r="C100" s="51" t="s">
        <v>1067</v>
      </c>
      <c r="D100" s="51" t="s">
        <v>1013</v>
      </c>
      <c r="E100" s="51"/>
    </row>
    <row r="101" spans="1:5" x14ac:dyDescent="0.3">
      <c r="A101" s="51" t="s">
        <v>1028</v>
      </c>
      <c r="B101" s="114" t="s">
        <v>1054</v>
      </c>
      <c r="C101" s="51" t="s">
        <v>1068</v>
      </c>
      <c r="D101" s="51" t="s">
        <v>1013</v>
      </c>
      <c r="E101" s="51"/>
    </row>
    <row r="102" spans="1:5" x14ac:dyDescent="0.3">
      <c r="A102" s="51" t="s">
        <v>1028</v>
      </c>
      <c r="B102" s="51" t="s">
        <v>992</v>
      </c>
      <c r="C102" s="51" t="s">
        <v>860</v>
      </c>
      <c r="D102" s="51"/>
      <c r="E102" s="51"/>
    </row>
    <row r="103" spans="1:5" x14ac:dyDescent="0.3">
      <c r="A103" s="51" t="s">
        <v>1028</v>
      </c>
      <c r="B103" s="51" t="s">
        <v>992</v>
      </c>
      <c r="C103" s="108" t="s">
        <v>1069</v>
      </c>
      <c r="D103" s="51"/>
      <c r="E103" s="51"/>
    </row>
    <row r="104" spans="1:5" x14ac:dyDescent="0.3">
      <c r="A104" s="51" t="s">
        <v>1028</v>
      </c>
      <c r="B104" s="51" t="s">
        <v>992</v>
      </c>
      <c r="C104" s="51" t="s">
        <v>1070</v>
      </c>
      <c r="D104" s="51" t="s">
        <v>1030</v>
      </c>
      <c r="E104" s="51"/>
    </row>
    <row r="105" spans="1:5" x14ac:dyDescent="0.3">
      <c r="A105" s="51" t="s">
        <v>1028</v>
      </c>
      <c r="B105" s="51" t="s">
        <v>992</v>
      </c>
      <c r="C105" s="51" t="s">
        <v>996</v>
      </c>
      <c r="D105" s="51" t="s">
        <v>1071</v>
      </c>
      <c r="E105" s="51"/>
    </row>
    <row r="106" spans="1:5" x14ac:dyDescent="0.3">
      <c r="A106" s="51" t="s">
        <v>1028</v>
      </c>
      <c r="B106" s="51" t="s">
        <v>992</v>
      </c>
      <c r="C106" s="51" t="s">
        <v>1072</v>
      </c>
      <c r="D106" s="51"/>
      <c r="E106" s="51"/>
    </row>
    <row r="107" spans="1:5" x14ac:dyDescent="0.3">
      <c r="A107" s="51" t="s">
        <v>1028</v>
      </c>
      <c r="B107" s="51" t="s">
        <v>992</v>
      </c>
      <c r="C107" s="51" t="s">
        <v>1041</v>
      </c>
      <c r="D107" s="56" t="s">
        <v>1073</v>
      </c>
      <c r="E107" s="51"/>
    </row>
    <row r="108" spans="1:5" x14ac:dyDescent="0.3">
      <c r="A108" s="51" t="s">
        <v>1028</v>
      </c>
      <c r="B108" s="51" t="s">
        <v>992</v>
      </c>
      <c r="C108" s="51" t="s">
        <v>1074</v>
      </c>
      <c r="D108" s="51"/>
      <c r="E108" s="51"/>
    </row>
    <row r="109" spans="1:5" x14ac:dyDescent="0.3">
      <c r="A109" s="51" t="s">
        <v>1028</v>
      </c>
      <c r="B109" s="51" t="s">
        <v>992</v>
      </c>
      <c r="C109" s="51" t="s">
        <v>1075</v>
      </c>
      <c r="D109" s="51"/>
      <c r="E109" s="51"/>
    </row>
    <row r="110" spans="1:5" x14ac:dyDescent="0.3">
      <c r="A110" s="51" t="s">
        <v>1028</v>
      </c>
      <c r="B110" s="51" t="s">
        <v>992</v>
      </c>
      <c r="C110" s="51" t="s">
        <v>1076</v>
      </c>
      <c r="D110" s="51"/>
      <c r="E110" s="51"/>
    </row>
    <row r="111" spans="1:5" x14ac:dyDescent="0.3">
      <c r="A111" s="51" t="s">
        <v>1077</v>
      </c>
      <c r="B111" s="51" t="s">
        <v>1078</v>
      </c>
      <c r="C111" s="51" t="s">
        <v>1079</v>
      </c>
      <c r="D111" s="51" t="s">
        <v>1034</v>
      </c>
      <c r="E111" s="51"/>
    </row>
    <row r="112" spans="1:5" x14ac:dyDescent="0.3">
      <c r="A112" s="51" t="s">
        <v>1077</v>
      </c>
      <c r="B112" s="51" t="s">
        <v>1078</v>
      </c>
      <c r="C112" s="51" t="s">
        <v>1041</v>
      </c>
      <c r="D112" s="51" t="s">
        <v>1042</v>
      </c>
      <c r="E112" s="51"/>
    </row>
    <row r="113" spans="1:5" x14ac:dyDescent="0.3">
      <c r="A113" s="51" t="s">
        <v>1077</v>
      </c>
      <c r="B113" s="51" t="s">
        <v>1078</v>
      </c>
      <c r="C113" s="51" t="s">
        <v>1080</v>
      </c>
      <c r="D113" s="51" t="s">
        <v>21</v>
      </c>
      <c r="E113" s="51"/>
    </row>
    <row r="114" spans="1:5" x14ac:dyDescent="0.3">
      <c r="A114" s="51" t="s">
        <v>1077</v>
      </c>
      <c r="B114" s="51" t="s">
        <v>1078</v>
      </c>
      <c r="C114" s="51" t="s">
        <v>1000</v>
      </c>
      <c r="D114" s="51" t="s">
        <v>1016</v>
      </c>
      <c r="E114" s="51"/>
    </row>
    <row r="115" spans="1:5" ht="39" x14ac:dyDescent="0.3">
      <c r="A115" s="51" t="s">
        <v>1077</v>
      </c>
      <c r="B115" s="51" t="s">
        <v>1078</v>
      </c>
      <c r="C115" s="51" t="s">
        <v>1081</v>
      </c>
      <c r="D115" s="51"/>
      <c r="E115" s="51"/>
    </row>
    <row r="116" spans="1:5" x14ac:dyDescent="0.3">
      <c r="A116" s="51" t="s">
        <v>1082</v>
      </c>
      <c r="B116" s="51"/>
      <c r="C116" s="51"/>
      <c r="D116" s="51"/>
      <c r="E116" s="51"/>
    </row>
    <row r="117" spans="1:5" ht="65" x14ac:dyDescent="0.3">
      <c r="A117" s="51" t="s">
        <v>1083</v>
      </c>
      <c r="B117" s="51"/>
      <c r="C117" s="51"/>
      <c r="D117" s="51" t="s">
        <v>1084</v>
      </c>
      <c r="E117" s="5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2D6F-36E7-4B59-BDE5-D6D00F766B8E}">
  <dimension ref="A1:J37"/>
  <sheetViews>
    <sheetView zoomScale="74" zoomScaleNormal="85" workbookViewId="0">
      <pane xSplit="4" ySplit="1" topLeftCell="E21" activePane="bottomRight" state="frozen"/>
      <selection pane="topRight" activeCell="E1" sqref="E1"/>
      <selection pane="bottomLeft" activeCell="A2" sqref="A2"/>
      <selection pane="bottomRight" activeCell="H4" sqref="H4"/>
    </sheetView>
  </sheetViews>
  <sheetFormatPr defaultColWidth="8.81640625" defaultRowHeight="13" x14ac:dyDescent="0.35"/>
  <cols>
    <col min="1" max="1" width="4.7265625" style="84" bestFit="1" customWidth="1"/>
    <col min="2" max="2" width="14.1796875" style="84" customWidth="1"/>
    <col min="3" max="3" width="17" style="84" customWidth="1"/>
    <col min="4" max="4" width="24.7265625" style="84" customWidth="1"/>
    <col min="5" max="5" width="14.54296875" style="84" customWidth="1"/>
    <col min="6" max="6" width="22" style="84" customWidth="1"/>
    <col min="7" max="7" width="50.7265625" style="84" customWidth="1"/>
    <col min="8" max="8" width="40.26953125" style="84" customWidth="1"/>
    <col min="9" max="9" width="12.26953125" style="84" customWidth="1"/>
    <col min="10" max="10" width="17.1796875" style="84" customWidth="1"/>
    <col min="11" max="16384" width="8.81640625" style="84"/>
  </cols>
  <sheetData>
    <row r="1" spans="1:10" ht="39" x14ac:dyDescent="0.35">
      <c r="A1" s="78" t="s">
        <v>0</v>
      </c>
      <c r="B1" s="79" t="s">
        <v>337</v>
      </c>
      <c r="C1" s="79" t="s">
        <v>338</v>
      </c>
      <c r="D1" s="79" t="s">
        <v>339</v>
      </c>
      <c r="E1" s="80" t="s">
        <v>1085</v>
      </c>
      <c r="F1" s="81" t="s">
        <v>1086</v>
      </c>
      <c r="G1" s="82" t="s">
        <v>676</v>
      </c>
      <c r="H1" s="79" t="s">
        <v>345</v>
      </c>
      <c r="I1" s="81" t="s">
        <v>346</v>
      </c>
      <c r="J1" s="83" t="s">
        <v>347</v>
      </c>
    </row>
    <row r="2" spans="1:10" ht="26" x14ac:dyDescent="0.35">
      <c r="B2" s="84" t="s">
        <v>1087</v>
      </c>
      <c r="D2" s="84" t="s">
        <v>6</v>
      </c>
      <c r="E2" s="84" t="s">
        <v>359</v>
      </c>
      <c r="G2" s="84" t="s">
        <v>1088</v>
      </c>
    </row>
    <row r="3" spans="1:10" ht="104" x14ac:dyDescent="0.35">
      <c r="B3" s="84" t="s">
        <v>1087</v>
      </c>
      <c r="D3" s="84" t="s">
        <v>28</v>
      </c>
      <c r="E3" s="84" t="s">
        <v>350</v>
      </c>
      <c r="G3" s="84" t="s">
        <v>1089</v>
      </c>
    </row>
    <row r="4" spans="1:10" ht="39" x14ac:dyDescent="0.35">
      <c r="B4" s="84" t="s">
        <v>1087</v>
      </c>
      <c r="D4" s="84" t="s">
        <v>356</v>
      </c>
      <c r="E4" s="84" t="s">
        <v>1090</v>
      </c>
      <c r="F4" s="85"/>
      <c r="G4" s="84" t="s">
        <v>1091</v>
      </c>
    </row>
    <row r="5" spans="1:10" x14ac:dyDescent="0.35">
      <c r="B5" s="84" t="s">
        <v>1087</v>
      </c>
      <c r="D5" s="84" t="s">
        <v>358</v>
      </c>
      <c r="E5" s="84" t="s">
        <v>359</v>
      </c>
      <c r="G5" s="85" t="s">
        <v>360</v>
      </c>
    </row>
    <row r="6" spans="1:10" ht="26" x14ac:dyDescent="0.35">
      <c r="B6" s="84" t="s">
        <v>1087</v>
      </c>
      <c r="D6" s="84" t="s">
        <v>361</v>
      </c>
      <c r="E6" s="84" t="s">
        <v>359</v>
      </c>
      <c r="G6" s="85" t="s">
        <v>362</v>
      </c>
    </row>
    <row r="7" spans="1:10" ht="26" x14ac:dyDescent="0.35">
      <c r="B7" s="84" t="s">
        <v>1087</v>
      </c>
      <c r="D7" s="84" t="s">
        <v>363</v>
      </c>
      <c r="E7" s="84" t="s">
        <v>359</v>
      </c>
      <c r="G7" s="85" t="s">
        <v>364</v>
      </c>
    </row>
    <row r="8" spans="1:10" x14ac:dyDescent="0.35">
      <c r="B8" s="84" t="s">
        <v>1087</v>
      </c>
      <c r="D8" s="84" t="s">
        <v>367</v>
      </c>
      <c r="E8" s="84" t="s">
        <v>368</v>
      </c>
      <c r="G8" s="6" t="s">
        <v>1092</v>
      </c>
    </row>
    <row r="9" spans="1:10" ht="26" x14ac:dyDescent="0.35">
      <c r="B9" s="84" t="s">
        <v>1087</v>
      </c>
      <c r="C9" s="84" t="s">
        <v>1093</v>
      </c>
      <c r="D9" s="84" t="s">
        <v>1094</v>
      </c>
      <c r="E9" s="84" t="s">
        <v>359</v>
      </c>
      <c r="G9" s="84" t="s">
        <v>1095</v>
      </c>
    </row>
    <row r="10" spans="1:10" ht="52" x14ac:dyDescent="0.35">
      <c r="B10" s="84" t="s">
        <v>1087</v>
      </c>
      <c r="C10" s="84" t="s">
        <v>1093</v>
      </c>
      <c r="D10" s="84" t="s">
        <v>1096</v>
      </c>
      <c r="E10" s="84" t="s">
        <v>359</v>
      </c>
      <c r="G10" s="84" t="s">
        <v>1097</v>
      </c>
    </row>
    <row r="11" spans="1:10" ht="39" x14ac:dyDescent="0.35">
      <c r="B11" s="84" t="s">
        <v>1087</v>
      </c>
      <c r="C11" s="84" t="s">
        <v>1093</v>
      </c>
      <c r="D11" s="84" t="s">
        <v>1098</v>
      </c>
      <c r="E11" s="85" t="s">
        <v>359</v>
      </c>
      <c r="F11" s="85"/>
      <c r="G11" s="84" t="s">
        <v>1099</v>
      </c>
    </row>
    <row r="12" spans="1:10" ht="39" x14ac:dyDescent="0.35">
      <c r="B12" s="84" t="s">
        <v>1087</v>
      </c>
      <c r="C12" s="84" t="s">
        <v>1093</v>
      </c>
      <c r="D12" s="84" t="s">
        <v>1100</v>
      </c>
      <c r="E12" s="85" t="s">
        <v>359</v>
      </c>
      <c r="F12" s="85"/>
      <c r="G12" s="84" t="s">
        <v>1101</v>
      </c>
    </row>
    <row r="13" spans="1:10" ht="26" x14ac:dyDescent="0.35">
      <c r="B13" s="84" t="s">
        <v>1087</v>
      </c>
      <c r="C13" s="84" t="s">
        <v>1093</v>
      </c>
      <c r="D13" s="84" t="s">
        <v>361</v>
      </c>
      <c r="E13" s="84" t="s">
        <v>359</v>
      </c>
      <c r="G13" s="84" t="s">
        <v>1102</v>
      </c>
    </row>
    <row r="14" spans="1:10" ht="78" x14ac:dyDescent="0.35">
      <c r="B14" s="84" t="s">
        <v>1087</v>
      </c>
      <c r="C14" s="84" t="s">
        <v>1093</v>
      </c>
      <c r="D14" s="84" t="s">
        <v>1103</v>
      </c>
      <c r="E14" s="84" t="s">
        <v>359</v>
      </c>
      <c r="G14" s="84" t="s">
        <v>1104</v>
      </c>
    </row>
    <row r="15" spans="1:10" ht="182" x14ac:dyDescent="0.35">
      <c r="B15" s="84" t="s">
        <v>1105</v>
      </c>
      <c r="C15" s="84" t="s">
        <v>1106</v>
      </c>
      <c r="D15" s="84" t="s">
        <v>1106</v>
      </c>
      <c r="E15" s="84" t="s">
        <v>1107</v>
      </c>
      <c r="G15" s="86" t="s">
        <v>1108</v>
      </c>
      <c r="H15" s="86"/>
    </row>
    <row r="16" spans="1:10" ht="182" x14ac:dyDescent="0.35">
      <c r="B16" s="84" t="s">
        <v>1105</v>
      </c>
      <c r="C16" s="84" t="s">
        <v>1109</v>
      </c>
      <c r="D16" s="84" t="s">
        <v>1109</v>
      </c>
      <c r="E16" s="84" t="s">
        <v>359</v>
      </c>
      <c r="G16" s="87" t="s">
        <v>1110</v>
      </c>
      <c r="H16" s="87"/>
    </row>
    <row r="17" spans="2:8" ht="39" x14ac:dyDescent="0.35">
      <c r="B17" s="84" t="s">
        <v>1105</v>
      </c>
      <c r="C17" s="84" t="s">
        <v>10</v>
      </c>
      <c r="D17" s="84" t="s">
        <v>10</v>
      </c>
      <c r="E17" s="84" t="s">
        <v>359</v>
      </c>
      <c r="G17" s="87" t="s">
        <v>1111</v>
      </c>
      <c r="H17" s="87"/>
    </row>
    <row r="18" spans="2:8" ht="65" x14ac:dyDescent="0.35">
      <c r="B18" s="84" t="s">
        <v>1105</v>
      </c>
      <c r="C18" s="84" t="s">
        <v>1112</v>
      </c>
      <c r="D18" s="84" t="s">
        <v>1112</v>
      </c>
      <c r="E18" s="84" t="s">
        <v>359</v>
      </c>
      <c r="G18" s="87" t="s">
        <v>1113</v>
      </c>
      <c r="H18" s="87"/>
    </row>
    <row r="19" spans="2:8" ht="104" x14ac:dyDescent="0.35">
      <c r="B19" s="84" t="s">
        <v>1114</v>
      </c>
      <c r="D19" s="84" t="s">
        <v>1114</v>
      </c>
      <c r="E19" s="84" t="s">
        <v>359</v>
      </c>
      <c r="G19" s="84" t="s">
        <v>1115</v>
      </c>
    </row>
    <row r="20" spans="2:8" s="88" customFormat="1" ht="65" x14ac:dyDescent="0.35">
      <c r="C20" s="88" t="s">
        <v>1116</v>
      </c>
      <c r="D20" s="88" t="s">
        <v>1116</v>
      </c>
      <c r="E20" s="88" t="s">
        <v>1107</v>
      </c>
      <c r="G20" s="88" t="s">
        <v>1117</v>
      </c>
    </row>
    <row r="21" spans="2:8" ht="78" x14ac:dyDescent="0.35">
      <c r="C21" s="84" t="s">
        <v>1118</v>
      </c>
      <c r="D21" s="84" t="s">
        <v>365</v>
      </c>
      <c r="E21" s="84" t="s">
        <v>1107</v>
      </c>
      <c r="G21" s="84" t="s">
        <v>1119</v>
      </c>
    </row>
    <row r="22" spans="2:8" ht="39" x14ac:dyDescent="0.35">
      <c r="C22" s="84" t="s">
        <v>1118</v>
      </c>
      <c r="D22" s="84" t="s">
        <v>38</v>
      </c>
      <c r="E22" s="84" t="s">
        <v>1120</v>
      </c>
      <c r="G22" s="84" t="s">
        <v>1121</v>
      </c>
    </row>
    <row r="23" spans="2:8" ht="39" x14ac:dyDescent="0.35">
      <c r="C23" s="84" t="s">
        <v>1118</v>
      </c>
      <c r="D23" s="84" t="s">
        <v>56</v>
      </c>
      <c r="E23" s="84" t="s">
        <v>1120</v>
      </c>
      <c r="G23" s="84" t="s">
        <v>1122</v>
      </c>
    </row>
    <row r="24" spans="2:8" ht="39" x14ac:dyDescent="0.35">
      <c r="C24" s="84" t="s">
        <v>1118</v>
      </c>
      <c r="D24" s="84" t="s">
        <v>1123</v>
      </c>
      <c r="E24" s="84" t="s">
        <v>1120</v>
      </c>
      <c r="G24" s="84" t="s">
        <v>1124</v>
      </c>
    </row>
    <row r="25" spans="2:8" ht="39" x14ac:dyDescent="0.35">
      <c r="C25" s="84" t="s">
        <v>1118</v>
      </c>
      <c r="D25" s="84" t="s">
        <v>44</v>
      </c>
      <c r="E25" s="84" t="s">
        <v>1120</v>
      </c>
      <c r="G25" s="84" t="s">
        <v>1125</v>
      </c>
    </row>
    <row r="26" spans="2:8" ht="39" x14ac:dyDescent="0.35">
      <c r="C26" s="84" t="s">
        <v>1118</v>
      </c>
      <c r="D26" s="84" t="s">
        <v>947</v>
      </c>
      <c r="E26" s="84" t="s">
        <v>1120</v>
      </c>
      <c r="G26" s="84" t="s">
        <v>1126</v>
      </c>
    </row>
    <row r="27" spans="2:8" ht="65" x14ac:dyDescent="0.35">
      <c r="C27" s="84" t="s">
        <v>1118</v>
      </c>
      <c r="D27" s="84" t="s">
        <v>1127</v>
      </c>
      <c r="E27" s="84" t="s">
        <v>1120</v>
      </c>
      <c r="F27" s="84" t="s">
        <v>1128</v>
      </c>
      <c r="G27" s="84" t="s">
        <v>1129</v>
      </c>
    </row>
    <row r="28" spans="2:8" ht="39" x14ac:dyDescent="0.35">
      <c r="C28" s="84" t="s">
        <v>1118</v>
      </c>
      <c r="D28" s="84" t="s">
        <v>1130</v>
      </c>
      <c r="E28" s="84" t="s">
        <v>1120</v>
      </c>
      <c r="G28" s="84" t="s">
        <v>1131</v>
      </c>
    </row>
    <row r="29" spans="2:8" ht="39" x14ac:dyDescent="0.35">
      <c r="C29" s="84" t="s">
        <v>1118</v>
      </c>
      <c r="D29" s="84" t="s">
        <v>1132</v>
      </c>
      <c r="E29" s="84" t="s">
        <v>1120</v>
      </c>
      <c r="G29" s="84" t="s">
        <v>1133</v>
      </c>
    </row>
    <row r="30" spans="2:8" ht="409.5" x14ac:dyDescent="0.35">
      <c r="C30" s="84" t="s">
        <v>1134</v>
      </c>
      <c r="D30" s="84" t="s">
        <v>1135</v>
      </c>
      <c r="E30" s="84" t="s">
        <v>1136</v>
      </c>
      <c r="G30" s="84" t="s">
        <v>1137</v>
      </c>
    </row>
    <row r="31" spans="2:8" ht="104" x14ac:dyDescent="0.35">
      <c r="C31" s="84" t="s">
        <v>1134</v>
      </c>
      <c r="D31" s="84" t="s">
        <v>1138</v>
      </c>
      <c r="E31" s="84" t="s">
        <v>1136</v>
      </c>
      <c r="F31" s="84" t="s">
        <v>1139</v>
      </c>
      <c r="G31" s="84" t="s">
        <v>1140</v>
      </c>
    </row>
    <row r="32" spans="2:8" x14ac:dyDescent="0.35">
      <c r="C32" s="84" t="s">
        <v>26</v>
      </c>
      <c r="D32" s="84" t="s">
        <v>1141</v>
      </c>
      <c r="E32" s="84" t="s">
        <v>1107</v>
      </c>
      <c r="G32" s="84" t="s">
        <v>1142</v>
      </c>
    </row>
    <row r="33" spans="3:7" ht="52" x14ac:dyDescent="0.35">
      <c r="C33" s="84" t="s">
        <v>1143</v>
      </c>
      <c r="D33" s="84" t="s">
        <v>1144</v>
      </c>
      <c r="E33" s="84" t="s">
        <v>1107</v>
      </c>
      <c r="F33" s="84" t="s">
        <v>1145</v>
      </c>
      <c r="G33" s="84" t="s">
        <v>1146</v>
      </c>
    </row>
    <row r="34" spans="3:7" ht="39" x14ac:dyDescent="0.35">
      <c r="C34" s="84" t="s">
        <v>1147</v>
      </c>
      <c r="D34" s="84" t="s">
        <v>26</v>
      </c>
      <c r="E34" s="84" t="s">
        <v>1148</v>
      </c>
    </row>
    <row r="35" spans="3:7" ht="52" x14ac:dyDescent="0.35">
      <c r="C35" s="84" t="s">
        <v>1149</v>
      </c>
      <c r="D35" s="84" t="s">
        <v>26</v>
      </c>
    </row>
    <row r="36" spans="3:7" ht="143" x14ac:dyDescent="0.35">
      <c r="C36" s="84" t="s">
        <v>1150</v>
      </c>
      <c r="D36" s="84" t="s">
        <v>198</v>
      </c>
      <c r="E36" s="84" t="s">
        <v>1107</v>
      </c>
      <c r="G36" s="84" t="s">
        <v>1151</v>
      </c>
    </row>
    <row r="37" spans="3:7" ht="26" x14ac:dyDescent="0.35">
      <c r="C37" s="84" t="s">
        <v>1152</v>
      </c>
      <c r="D37" s="84" t="s">
        <v>26</v>
      </c>
      <c r="E37" s="84" t="s">
        <v>1153</v>
      </c>
    </row>
  </sheetData>
  <phoneticPr fontId="1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0F045-2C0A-46D9-82B9-BB0873A60D4E}">
  <dimension ref="A1:Q114"/>
  <sheetViews>
    <sheetView zoomScale="83" zoomScaleNormal="82" workbookViewId="0">
      <pane xSplit="4" ySplit="1" topLeftCell="E25" activePane="bottomRight" state="frozen"/>
      <selection pane="topRight" activeCell="E1" sqref="E1"/>
      <selection pane="bottomLeft" activeCell="A2" sqref="A2"/>
      <selection pane="bottomRight" activeCell="I27" sqref="I27"/>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customWidth="1"/>
    <col min="6" max="6" width="42.1796875" style="6" customWidth="1"/>
    <col min="7" max="7" width="13.7265625" style="9" customWidth="1"/>
    <col min="8" max="8" width="15.26953125" style="9" bestFit="1" customWidth="1"/>
    <col min="9" max="9" width="27.7265625" style="9" customWidth="1"/>
    <col min="10" max="10" width="47.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339</v>
      </c>
      <c r="E1" s="1" t="s">
        <v>1154</v>
      </c>
      <c r="F1" s="1" t="s">
        <v>1155</v>
      </c>
      <c r="G1" s="1" t="s">
        <v>1156</v>
      </c>
      <c r="H1" s="2" t="s">
        <v>1085</v>
      </c>
      <c r="I1" s="2" t="s">
        <v>1157</v>
      </c>
      <c r="J1" s="3" t="s">
        <v>1086</v>
      </c>
      <c r="K1" s="4" t="s">
        <v>676</v>
      </c>
      <c r="L1" s="1" t="s">
        <v>345</v>
      </c>
      <c r="M1" s="3" t="s">
        <v>346</v>
      </c>
      <c r="N1" s="5" t="s">
        <v>347</v>
      </c>
    </row>
    <row r="2" spans="1:14" s="9" customFormat="1" ht="52" x14ac:dyDescent="0.35">
      <c r="A2" s="6"/>
      <c r="B2" s="7" t="s">
        <v>348</v>
      </c>
      <c r="C2" s="57"/>
      <c r="D2" s="6" t="s">
        <v>28</v>
      </c>
      <c r="E2" s="6" t="s">
        <v>1158</v>
      </c>
      <c r="F2" s="8" t="s">
        <v>29</v>
      </c>
      <c r="G2" s="6" t="s">
        <v>1158</v>
      </c>
      <c r="H2" s="6" t="s">
        <v>1090</v>
      </c>
      <c r="I2" s="6" t="s">
        <v>1159</v>
      </c>
      <c r="J2" s="6" t="s">
        <v>1160</v>
      </c>
      <c r="K2" s="6" t="s">
        <v>1161</v>
      </c>
      <c r="L2" s="6"/>
      <c r="M2" s="6"/>
      <c r="N2" s="6"/>
    </row>
    <row r="3" spans="1:14" s="9" customFormat="1" ht="26" x14ac:dyDescent="0.35">
      <c r="A3" s="6"/>
      <c r="B3" s="7" t="s">
        <v>348</v>
      </c>
      <c r="C3" s="57"/>
      <c r="D3" s="6" t="s">
        <v>356</v>
      </c>
      <c r="E3" s="6" t="s">
        <v>1158</v>
      </c>
      <c r="F3" s="6"/>
      <c r="G3" s="6" t="s">
        <v>1158</v>
      </c>
      <c r="H3" s="6" t="s">
        <v>1090</v>
      </c>
      <c r="I3" s="6" t="s">
        <v>1159</v>
      </c>
      <c r="J3" s="58" t="s">
        <v>1162</v>
      </c>
      <c r="K3" s="6" t="s">
        <v>1163</v>
      </c>
      <c r="L3" s="6"/>
      <c r="M3" s="6"/>
      <c r="N3" s="6"/>
    </row>
    <row r="4" spans="1:14" s="9" customFormat="1" ht="26" x14ac:dyDescent="0.35">
      <c r="A4" s="6"/>
      <c r="B4" s="7" t="s">
        <v>348</v>
      </c>
      <c r="C4" s="10"/>
      <c r="D4" s="8" t="s">
        <v>358</v>
      </c>
      <c r="E4" s="8" t="s">
        <v>1164</v>
      </c>
      <c r="F4" s="6"/>
      <c r="G4" s="6" t="s">
        <v>1164</v>
      </c>
      <c r="H4" s="6" t="s">
        <v>359</v>
      </c>
      <c r="I4" s="8" t="s">
        <v>26</v>
      </c>
      <c r="J4" s="8" t="s">
        <v>26</v>
      </c>
      <c r="K4" s="59" t="s">
        <v>360</v>
      </c>
      <c r="L4" s="11"/>
      <c r="M4" s="6"/>
      <c r="N4" s="6"/>
    </row>
    <row r="5" spans="1:14" s="9" customFormat="1" ht="39" x14ac:dyDescent="0.35">
      <c r="A5" s="6"/>
      <c r="B5" s="7" t="s">
        <v>348</v>
      </c>
      <c r="C5" s="57"/>
      <c r="D5" s="6" t="s">
        <v>361</v>
      </c>
      <c r="E5" s="8" t="s">
        <v>1164</v>
      </c>
      <c r="F5" s="6"/>
      <c r="G5" s="60" t="s">
        <v>1164</v>
      </c>
      <c r="H5" s="6" t="s">
        <v>359</v>
      </c>
      <c r="I5" s="6" t="s">
        <v>26</v>
      </c>
      <c r="J5" s="6" t="s">
        <v>26</v>
      </c>
      <c r="K5" s="58" t="s">
        <v>362</v>
      </c>
      <c r="L5" s="6"/>
      <c r="M5" s="6"/>
      <c r="N5" s="6"/>
    </row>
    <row r="6" spans="1:14" s="9" customFormat="1" ht="26" x14ac:dyDescent="0.35">
      <c r="A6" s="6"/>
      <c r="B6" s="7" t="s">
        <v>348</v>
      </c>
      <c r="C6" s="57"/>
      <c r="D6" s="6" t="s">
        <v>363</v>
      </c>
      <c r="E6" s="8" t="s">
        <v>1164</v>
      </c>
      <c r="F6" s="6"/>
      <c r="G6" s="60" t="s">
        <v>1164</v>
      </c>
      <c r="H6" s="6" t="s">
        <v>359</v>
      </c>
      <c r="I6" s="6" t="s">
        <v>26</v>
      </c>
      <c r="J6" s="6" t="s">
        <v>26</v>
      </c>
      <c r="K6" s="58" t="s">
        <v>364</v>
      </c>
      <c r="L6" s="6"/>
      <c r="M6" s="6"/>
      <c r="N6" s="6"/>
    </row>
    <row r="7" spans="1:14" s="9" customFormat="1" ht="39" x14ac:dyDescent="0.35">
      <c r="A7" s="6"/>
      <c r="B7" s="7" t="s">
        <v>348</v>
      </c>
      <c r="C7" s="57"/>
      <c r="D7" s="6" t="s">
        <v>365</v>
      </c>
      <c r="E7" s="6" t="s">
        <v>1158</v>
      </c>
      <c r="F7" s="6"/>
      <c r="G7" s="6" t="s">
        <v>1158</v>
      </c>
      <c r="H7" s="6" t="s">
        <v>350</v>
      </c>
      <c r="I7" s="6" t="s">
        <v>1159</v>
      </c>
      <c r="J7" s="6" t="s">
        <v>1165</v>
      </c>
      <c r="K7" s="6" t="s">
        <v>1166</v>
      </c>
      <c r="L7" s="6"/>
      <c r="M7" s="6"/>
      <c r="N7" s="61"/>
    </row>
    <row r="8" spans="1:14" s="9" customFormat="1" ht="39" x14ac:dyDescent="0.35">
      <c r="A8" s="6"/>
      <c r="B8" s="7" t="s">
        <v>348</v>
      </c>
      <c r="C8" s="57"/>
      <c r="D8" s="6" t="s">
        <v>367</v>
      </c>
      <c r="E8" s="8" t="s">
        <v>1164</v>
      </c>
      <c r="F8" s="6"/>
      <c r="G8" s="60" t="s">
        <v>1164</v>
      </c>
      <c r="H8" s="6" t="s">
        <v>368</v>
      </c>
      <c r="I8" s="6" t="s">
        <v>26</v>
      </c>
      <c r="J8" s="6" t="s">
        <v>26</v>
      </c>
      <c r="K8" s="6" t="s">
        <v>1167</v>
      </c>
      <c r="L8" s="6"/>
      <c r="M8" s="6"/>
      <c r="N8" s="61"/>
    </row>
    <row r="9" spans="1:14" s="9" customFormat="1" ht="169" x14ac:dyDescent="0.35">
      <c r="A9" s="6"/>
      <c r="B9" s="7" t="s">
        <v>370</v>
      </c>
      <c r="C9" s="57"/>
      <c r="D9" s="6" t="s">
        <v>370</v>
      </c>
      <c r="E9" s="6" t="s">
        <v>1158</v>
      </c>
      <c r="F9" s="6" t="s">
        <v>1168</v>
      </c>
      <c r="G9" s="6" t="s">
        <v>1158</v>
      </c>
      <c r="H9" s="6" t="s">
        <v>350</v>
      </c>
      <c r="I9" s="6" t="s">
        <v>1159</v>
      </c>
      <c r="J9" s="6" t="s">
        <v>1169</v>
      </c>
      <c r="K9" s="6" t="s">
        <v>1170</v>
      </c>
      <c r="L9" s="6"/>
      <c r="M9" s="6"/>
      <c r="N9" s="6"/>
    </row>
    <row r="10" spans="1:14" ht="26" x14ac:dyDescent="0.35">
      <c r="B10" s="7" t="s">
        <v>19</v>
      </c>
      <c r="C10" s="57"/>
      <c r="D10" s="6" t="s">
        <v>1171</v>
      </c>
      <c r="E10" s="8" t="s">
        <v>1164</v>
      </c>
      <c r="G10" s="6" t="s">
        <v>1164</v>
      </c>
      <c r="H10" s="6" t="s">
        <v>359</v>
      </c>
      <c r="I10" s="6" t="s">
        <v>26</v>
      </c>
      <c r="J10" s="6" t="s">
        <v>26</v>
      </c>
      <c r="K10" s="6" t="s">
        <v>1172</v>
      </c>
    </row>
    <row r="11" spans="1:14" s="9" customFormat="1" ht="26" x14ac:dyDescent="0.35">
      <c r="B11" s="7" t="s">
        <v>19</v>
      </c>
      <c r="C11" s="10"/>
      <c r="D11" s="8" t="s">
        <v>20</v>
      </c>
      <c r="E11" s="8" t="s">
        <v>1164</v>
      </c>
      <c r="F11" s="8" t="s">
        <v>22</v>
      </c>
      <c r="G11" s="8" t="s">
        <v>1158</v>
      </c>
      <c r="H11" s="8"/>
      <c r="I11" s="8" t="s">
        <v>23</v>
      </c>
      <c r="J11" s="6" t="s">
        <v>26</v>
      </c>
      <c r="K11" s="8" t="s">
        <v>1173</v>
      </c>
      <c r="L11" s="11"/>
      <c r="M11" s="6"/>
      <c r="N11" s="6"/>
    </row>
    <row r="12" spans="1:14" s="9" customFormat="1" ht="28.15" customHeight="1" x14ac:dyDescent="0.35">
      <c r="B12" s="7" t="s">
        <v>19</v>
      </c>
      <c r="C12" s="10"/>
      <c r="D12" s="8" t="s">
        <v>1034</v>
      </c>
      <c r="E12" s="8" t="s">
        <v>1164</v>
      </c>
      <c r="F12" s="8" t="s">
        <v>29</v>
      </c>
      <c r="G12" s="8" t="s">
        <v>1158</v>
      </c>
      <c r="H12" s="8"/>
      <c r="I12" s="8" t="s">
        <v>30</v>
      </c>
      <c r="J12" s="6" t="s">
        <v>26</v>
      </c>
      <c r="K12" s="8" t="s">
        <v>1174</v>
      </c>
      <c r="L12" s="11"/>
      <c r="M12" s="6"/>
      <c r="N12" s="6"/>
    </row>
    <row r="13" spans="1:14" s="9" customFormat="1" ht="52" x14ac:dyDescent="0.35">
      <c r="B13" s="7" t="s">
        <v>19</v>
      </c>
      <c r="C13" s="10"/>
      <c r="D13" s="8" t="s">
        <v>1175</v>
      </c>
      <c r="E13" s="8" t="s">
        <v>1164</v>
      </c>
      <c r="F13" s="8" t="s">
        <v>35</v>
      </c>
      <c r="G13" s="8" t="s">
        <v>1158</v>
      </c>
      <c r="H13" s="8"/>
      <c r="I13" s="8" t="s">
        <v>36</v>
      </c>
      <c r="J13" s="6" t="s">
        <v>26</v>
      </c>
      <c r="K13" s="8" t="s">
        <v>1176</v>
      </c>
      <c r="L13" s="11"/>
      <c r="M13" s="6"/>
      <c r="N13" s="6"/>
    </row>
    <row r="14" spans="1:14" s="9" customFormat="1" ht="52" x14ac:dyDescent="0.35">
      <c r="B14" s="7" t="s">
        <v>19</v>
      </c>
      <c r="C14" s="10"/>
      <c r="D14" s="8" t="s">
        <v>38</v>
      </c>
      <c r="E14" s="8" t="s">
        <v>1164</v>
      </c>
      <c r="F14" s="8" t="s">
        <v>40</v>
      </c>
      <c r="G14" s="8" t="s">
        <v>1158</v>
      </c>
      <c r="H14" s="8"/>
      <c r="I14" s="8" t="s">
        <v>41</v>
      </c>
      <c r="J14" s="6" t="s">
        <v>26</v>
      </c>
      <c r="K14" s="8" t="s">
        <v>1177</v>
      </c>
      <c r="L14" s="11"/>
      <c r="M14" s="6"/>
      <c r="N14" s="6"/>
    </row>
    <row r="15" spans="1:14" s="9" customFormat="1" ht="39" x14ac:dyDescent="0.35">
      <c r="B15" s="7" t="s">
        <v>19</v>
      </c>
      <c r="C15" s="10"/>
      <c r="D15" s="8" t="s">
        <v>44</v>
      </c>
      <c r="E15" s="8" t="s">
        <v>1164</v>
      </c>
      <c r="F15" s="8" t="s">
        <v>46</v>
      </c>
      <c r="G15" s="8" t="s">
        <v>1158</v>
      </c>
      <c r="H15" s="8"/>
      <c r="I15" s="8" t="s">
        <v>47</v>
      </c>
      <c r="J15" s="6" t="s">
        <v>26</v>
      </c>
      <c r="K15" s="8" t="s">
        <v>1178</v>
      </c>
      <c r="L15" s="11"/>
      <c r="M15" s="6"/>
      <c r="N15" s="6"/>
    </row>
    <row r="16" spans="1:14" s="9" customFormat="1" ht="39" x14ac:dyDescent="0.35">
      <c r="B16" s="7" t="s">
        <v>19</v>
      </c>
      <c r="C16" s="10"/>
      <c r="D16" s="8" t="s">
        <v>49</v>
      </c>
      <c r="E16" s="8" t="s">
        <v>1164</v>
      </c>
      <c r="F16" s="8" t="s">
        <v>50</v>
      </c>
      <c r="G16" s="8" t="s">
        <v>1158</v>
      </c>
      <c r="H16" s="8"/>
      <c r="I16" s="8" t="s">
        <v>51</v>
      </c>
      <c r="J16" s="6" t="s">
        <v>26</v>
      </c>
      <c r="K16" s="8" t="s">
        <v>1179</v>
      </c>
      <c r="L16" s="11"/>
      <c r="M16" s="6"/>
      <c r="N16" s="6"/>
    </row>
    <row r="17" spans="2:14" s="9" customFormat="1" ht="26" x14ac:dyDescent="0.35">
      <c r="B17" s="7" t="s">
        <v>19</v>
      </c>
      <c r="C17" s="10"/>
      <c r="D17" s="8" t="s">
        <v>53</v>
      </c>
      <c r="E17" s="8" t="s">
        <v>1164</v>
      </c>
      <c r="F17" s="8" t="s">
        <v>54</v>
      </c>
      <c r="G17" s="8" t="s">
        <v>1158</v>
      </c>
      <c r="H17" s="8"/>
      <c r="I17" s="8" t="s">
        <v>47</v>
      </c>
      <c r="J17" s="6" t="s">
        <v>26</v>
      </c>
      <c r="K17" s="8" t="s">
        <v>1180</v>
      </c>
      <c r="L17" s="11"/>
      <c r="M17" s="6"/>
      <c r="N17" s="6"/>
    </row>
    <row r="18" spans="2:14" s="9" customFormat="1" ht="39" x14ac:dyDescent="0.35">
      <c r="B18" s="7" t="s">
        <v>19</v>
      </c>
      <c r="C18" s="10"/>
      <c r="D18" s="8" t="s">
        <v>56</v>
      </c>
      <c r="E18" s="8" t="s">
        <v>1164</v>
      </c>
      <c r="F18" s="8" t="s">
        <v>57</v>
      </c>
      <c r="G18" s="8" t="s">
        <v>1158</v>
      </c>
      <c r="H18" s="8"/>
      <c r="I18" s="8" t="s">
        <v>47</v>
      </c>
      <c r="J18" s="6" t="s">
        <v>26</v>
      </c>
      <c r="K18" s="8" t="s">
        <v>1181</v>
      </c>
      <c r="L18" s="11"/>
      <c r="M18" s="6"/>
      <c r="N18" s="6"/>
    </row>
    <row r="19" spans="2:14" s="9" customFormat="1" ht="26" x14ac:dyDescent="0.35">
      <c r="B19" s="7" t="s">
        <v>19</v>
      </c>
      <c r="C19" s="10"/>
      <c r="D19" s="8" t="s">
        <v>59</v>
      </c>
      <c r="E19" s="8" t="s">
        <v>1164</v>
      </c>
      <c r="F19" s="8" t="s">
        <v>60</v>
      </c>
      <c r="G19" s="8" t="s">
        <v>1158</v>
      </c>
      <c r="H19" s="8"/>
      <c r="I19" s="8" t="s">
        <v>47</v>
      </c>
      <c r="J19" s="6" t="s">
        <v>26</v>
      </c>
      <c r="K19" s="8" t="s">
        <v>1182</v>
      </c>
      <c r="L19" s="11"/>
      <c r="M19" s="6"/>
      <c r="N19" s="6"/>
    </row>
    <row r="20" spans="2:14" s="9" customFormat="1" ht="26" x14ac:dyDescent="0.35">
      <c r="B20" s="7" t="s">
        <v>19</v>
      </c>
      <c r="C20" s="10"/>
      <c r="D20" s="8" t="s">
        <v>62</v>
      </c>
      <c r="E20" s="8" t="s">
        <v>1164</v>
      </c>
      <c r="F20" s="8" t="s">
        <v>63</v>
      </c>
      <c r="G20" s="8" t="s">
        <v>1158</v>
      </c>
      <c r="H20" s="8"/>
      <c r="I20" s="8" t="s">
        <v>47</v>
      </c>
      <c r="J20" s="6" t="s">
        <v>26</v>
      </c>
      <c r="K20" s="8" t="s">
        <v>1183</v>
      </c>
      <c r="L20" s="11"/>
      <c r="M20" s="6"/>
      <c r="N20" s="6"/>
    </row>
    <row r="21" spans="2:14" s="9" customFormat="1" ht="39" x14ac:dyDescent="0.35">
      <c r="B21" s="7" t="s">
        <v>19</v>
      </c>
      <c r="C21" s="10"/>
      <c r="D21" s="8" t="s">
        <v>65</v>
      </c>
      <c r="E21" s="8" t="s">
        <v>1164</v>
      </c>
      <c r="F21" s="8" t="s">
        <v>66</v>
      </c>
      <c r="G21" s="8" t="s">
        <v>1158</v>
      </c>
      <c r="H21" s="8"/>
      <c r="I21" s="8" t="s">
        <v>47</v>
      </c>
      <c r="J21" s="6" t="s">
        <v>26</v>
      </c>
      <c r="K21" s="8" t="s">
        <v>1184</v>
      </c>
      <c r="L21" s="11"/>
      <c r="M21" s="6"/>
      <c r="N21" s="6"/>
    </row>
    <row r="22" spans="2:14" s="9" customFormat="1" ht="39" x14ac:dyDescent="0.35">
      <c r="B22" s="7" t="s">
        <v>19</v>
      </c>
      <c r="C22" s="10"/>
      <c r="D22" s="8" t="s">
        <v>68</v>
      </c>
      <c r="E22" s="8" t="s">
        <v>1164</v>
      </c>
      <c r="F22" s="8" t="s">
        <v>69</v>
      </c>
      <c r="G22" s="8" t="s">
        <v>1158</v>
      </c>
      <c r="H22" s="8"/>
      <c r="I22" s="8" t="s">
        <v>8</v>
      </c>
      <c r="J22" s="6" t="s">
        <v>26</v>
      </c>
      <c r="K22" s="8" t="s">
        <v>1185</v>
      </c>
      <c r="L22" s="11"/>
      <c r="M22" s="6"/>
      <c r="N22" s="6"/>
    </row>
    <row r="23" spans="2:14" s="9" customFormat="1" ht="26" x14ac:dyDescent="0.35">
      <c r="B23" s="7" t="s">
        <v>19</v>
      </c>
      <c r="C23" s="10"/>
      <c r="D23" s="8" t="s">
        <v>71</v>
      </c>
      <c r="E23" s="8" t="s">
        <v>1164</v>
      </c>
      <c r="F23" s="8" t="s">
        <v>69</v>
      </c>
      <c r="G23" s="8" t="s">
        <v>1158</v>
      </c>
      <c r="H23" s="8"/>
      <c r="I23" s="8" t="s">
        <v>8</v>
      </c>
      <c r="J23" s="6" t="s">
        <v>26</v>
      </c>
      <c r="K23" s="8" t="s">
        <v>1186</v>
      </c>
      <c r="L23" s="11"/>
      <c r="M23" s="6"/>
      <c r="N23" s="6"/>
    </row>
    <row r="24" spans="2:14" s="9" customFormat="1" ht="39" x14ac:dyDescent="0.35">
      <c r="B24" s="7" t="s">
        <v>19</v>
      </c>
      <c r="C24" s="10"/>
      <c r="D24" s="8" t="s">
        <v>73</v>
      </c>
      <c r="E24" s="8" t="s">
        <v>1164</v>
      </c>
      <c r="F24" s="8" t="s">
        <v>74</v>
      </c>
      <c r="G24" s="8" t="s">
        <v>1158</v>
      </c>
      <c r="H24" s="8"/>
      <c r="I24" s="8" t="s">
        <v>8</v>
      </c>
      <c r="J24" s="6" t="s">
        <v>26</v>
      </c>
      <c r="K24" s="8" t="s">
        <v>1187</v>
      </c>
      <c r="L24" s="11"/>
      <c r="M24" s="6"/>
      <c r="N24" s="6"/>
    </row>
    <row r="25" spans="2:14" s="9" customFormat="1" ht="52" x14ac:dyDescent="0.35">
      <c r="B25" s="7" t="s">
        <v>19</v>
      </c>
      <c r="C25" s="10"/>
      <c r="D25" s="8" t="s">
        <v>76</v>
      </c>
      <c r="E25" s="8" t="s">
        <v>1164</v>
      </c>
      <c r="F25" s="8" t="s">
        <v>77</v>
      </c>
      <c r="G25" s="8" t="s">
        <v>1158</v>
      </c>
      <c r="H25" s="8"/>
      <c r="I25" s="8" t="s">
        <v>47</v>
      </c>
      <c r="J25" s="6" t="s">
        <v>26</v>
      </c>
      <c r="K25" s="8" t="s">
        <v>1188</v>
      </c>
      <c r="L25" s="11"/>
      <c r="M25" s="6"/>
      <c r="N25" s="6"/>
    </row>
    <row r="26" spans="2:14" s="9" customFormat="1" ht="39" x14ac:dyDescent="0.35">
      <c r="B26" s="7" t="s">
        <v>19</v>
      </c>
      <c r="C26" s="10"/>
      <c r="D26" s="8" t="s">
        <v>79</v>
      </c>
      <c r="E26" s="8" t="s">
        <v>1164</v>
      </c>
      <c r="F26" s="8" t="s">
        <v>80</v>
      </c>
      <c r="G26" s="8" t="s">
        <v>1158</v>
      </c>
      <c r="H26" s="8"/>
      <c r="I26" s="8" t="s">
        <v>47</v>
      </c>
      <c r="J26" s="6" t="s">
        <v>26</v>
      </c>
      <c r="K26" s="8" t="s">
        <v>1189</v>
      </c>
      <c r="L26" s="11"/>
      <c r="M26" s="6"/>
      <c r="N26" s="6"/>
    </row>
    <row r="27" spans="2:14" s="9" customFormat="1" ht="52" x14ac:dyDescent="0.35">
      <c r="B27" s="7" t="s">
        <v>19</v>
      </c>
      <c r="C27" s="10"/>
      <c r="D27" s="12" t="s">
        <v>82</v>
      </c>
      <c r="E27" s="8" t="s">
        <v>1164</v>
      </c>
      <c r="F27" s="8" t="s">
        <v>83</v>
      </c>
      <c r="G27" s="8" t="s">
        <v>1158</v>
      </c>
      <c r="H27" s="8"/>
      <c r="I27" s="8" t="s">
        <v>1159</v>
      </c>
      <c r="J27" s="6" t="s">
        <v>26</v>
      </c>
      <c r="K27" s="8" t="s">
        <v>1190</v>
      </c>
      <c r="L27" s="11"/>
      <c r="M27" s="6"/>
      <c r="N27" s="6"/>
    </row>
    <row r="28" spans="2:14" s="9" customFormat="1" ht="26" x14ac:dyDescent="0.35">
      <c r="B28" s="7" t="s">
        <v>19</v>
      </c>
      <c r="C28" s="10"/>
      <c r="D28" s="8" t="s">
        <v>86</v>
      </c>
      <c r="E28" s="8" t="s">
        <v>1164</v>
      </c>
      <c r="F28" s="8" t="s">
        <v>87</v>
      </c>
      <c r="G28" s="8" t="s">
        <v>1158</v>
      </c>
      <c r="H28" s="8"/>
      <c r="I28" s="8" t="s">
        <v>47</v>
      </c>
      <c r="J28" s="6" t="s">
        <v>26</v>
      </c>
      <c r="K28" s="8" t="s">
        <v>1191</v>
      </c>
      <c r="L28" s="11"/>
      <c r="M28" s="6"/>
      <c r="N28" s="6"/>
    </row>
    <row r="29" spans="2:14" s="9" customFormat="1" ht="39" x14ac:dyDescent="0.35">
      <c r="B29" s="7" t="s">
        <v>19</v>
      </c>
      <c r="C29" s="10"/>
      <c r="D29" s="8" t="s">
        <v>89</v>
      </c>
      <c r="E29" s="8" t="s">
        <v>1164</v>
      </c>
      <c r="F29" s="8" t="s">
        <v>90</v>
      </c>
      <c r="G29" s="8" t="s">
        <v>1158</v>
      </c>
      <c r="H29" s="8"/>
      <c r="I29" s="8" t="s">
        <v>47</v>
      </c>
      <c r="J29" s="6" t="s">
        <v>26</v>
      </c>
      <c r="K29" s="8" t="s">
        <v>1192</v>
      </c>
      <c r="L29" s="11"/>
      <c r="M29" s="6"/>
      <c r="N29" s="6"/>
    </row>
    <row r="30" spans="2:14" s="9" customFormat="1" ht="26" x14ac:dyDescent="0.35">
      <c r="B30" s="7" t="s">
        <v>19</v>
      </c>
      <c r="C30" s="10"/>
      <c r="D30" s="8" t="s">
        <v>92</v>
      </c>
      <c r="E30" s="8" t="s">
        <v>1164</v>
      </c>
      <c r="F30" s="8" t="s">
        <v>93</v>
      </c>
      <c r="G30" s="8" t="s">
        <v>1158</v>
      </c>
      <c r="H30" s="8"/>
      <c r="I30" s="8" t="s">
        <v>8</v>
      </c>
      <c r="J30" s="6" t="s">
        <v>26</v>
      </c>
      <c r="K30" s="8" t="s">
        <v>1193</v>
      </c>
      <c r="L30" s="11"/>
      <c r="M30" s="6"/>
      <c r="N30" s="6"/>
    </row>
    <row r="31" spans="2:14" s="9" customFormat="1" ht="26" x14ac:dyDescent="0.35">
      <c r="B31" s="13" t="s">
        <v>19</v>
      </c>
      <c r="C31" s="8"/>
      <c r="D31" s="8" t="s">
        <v>95</v>
      </c>
      <c r="E31" s="8" t="s">
        <v>1164</v>
      </c>
      <c r="F31" s="8" t="s">
        <v>96</v>
      </c>
      <c r="G31" s="8" t="s">
        <v>1158</v>
      </c>
      <c r="H31" s="8"/>
      <c r="I31" s="8" t="s">
        <v>23</v>
      </c>
      <c r="J31" s="6" t="s">
        <v>26</v>
      </c>
      <c r="K31" s="8" t="s">
        <v>1194</v>
      </c>
      <c r="L31" s="11"/>
      <c r="M31" s="6"/>
      <c r="N31" s="6"/>
    </row>
    <row r="32" spans="2:14" s="9" customFormat="1" ht="130" x14ac:dyDescent="0.35">
      <c r="B32" s="7" t="s">
        <v>19</v>
      </c>
      <c r="C32" s="10"/>
      <c r="D32" s="8" t="s">
        <v>98</v>
      </c>
      <c r="E32" s="8" t="s">
        <v>1164</v>
      </c>
      <c r="F32" s="8" t="s">
        <v>99</v>
      </c>
      <c r="G32" s="8" t="s">
        <v>1158</v>
      </c>
      <c r="H32" s="8"/>
      <c r="I32" s="8" t="s">
        <v>47</v>
      </c>
      <c r="J32" s="6" t="s">
        <v>26</v>
      </c>
      <c r="K32" s="8" t="s">
        <v>1195</v>
      </c>
      <c r="L32" s="11"/>
      <c r="M32" s="6"/>
      <c r="N32" s="6"/>
    </row>
    <row r="33" spans="2:14" ht="26" x14ac:dyDescent="0.35">
      <c r="B33" s="7" t="s">
        <v>101</v>
      </c>
      <c r="C33" s="57"/>
      <c r="D33" s="6" t="s">
        <v>1171</v>
      </c>
      <c r="E33" s="8" t="s">
        <v>1164</v>
      </c>
      <c r="G33" s="6" t="s">
        <v>1164</v>
      </c>
      <c r="H33" s="6" t="s">
        <v>359</v>
      </c>
      <c r="I33" s="6" t="s">
        <v>26</v>
      </c>
      <c r="J33" s="6" t="s">
        <v>26</v>
      </c>
      <c r="K33" s="6" t="s">
        <v>1196</v>
      </c>
    </row>
    <row r="34" spans="2:14" s="9" customFormat="1" ht="39" x14ac:dyDescent="0.35">
      <c r="B34" s="7" t="s">
        <v>101</v>
      </c>
      <c r="C34" s="10" t="s">
        <v>445</v>
      </c>
      <c r="D34" s="8" t="s">
        <v>102</v>
      </c>
      <c r="E34" s="8" t="s">
        <v>1164</v>
      </c>
      <c r="F34" s="8" t="s">
        <v>103</v>
      </c>
      <c r="G34" s="8" t="s">
        <v>1158</v>
      </c>
      <c r="H34" s="8"/>
      <c r="I34" s="8" t="s">
        <v>47</v>
      </c>
      <c r="J34" s="8" t="s">
        <v>26</v>
      </c>
      <c r="K34" s="8" t="s">
        <v>1197</v>
      </c>
      <c r="L34" s="11"/>
      <c r="M34" s="6"/>
      <c r="N34" s="6"/>
    </row>
    <row r="35" spans="2:14" s="9" customFormat="1" ht="52" x14ac:dyDescent="0.35">
      <c r="B35" s="7" t="s">
        <v>101</v>
      </c>
      <c r="C35" s="10" t="s">
        <v>445</v>
      </c>
      <c r="D35" s="8" t="s">
        <v>105</v>
      </c>
      <c r="E35" s="8" t="s">
        <v>1164</v>
      </c>
      <c r="F35" s="8" t="s">
        <v>106</v>
      </c>
      <c r="G35" s="8" t="s">
        <v>1158</v>
      </c>
      <c r="H35" s="8"/>
      <c r="I35" s="8" t="s">
        <v>47</v>
      </c>
      <c r="J35" s="8" t="s">
        <v>26</v>
      </c>
      <c r="K35" s="8" t="s">
        <v>1198</v>
      </c>
      <c r="L35" s="11"/>
      <c r="M35" s="6"/>
      <c r="N35" s="6"/>
    </row>
    <row r="36" spans="2:14" s="9" customFormat="1" ht="39" x14ac:dyDescent="0.35">
      <c r="B36" s="7" t="s">
        <v>101</v>
      </c>
      <c r="C36" s="10" t="s">
        <v>445</v>
      </c>
      <c r="D36" s="8" t="s">
        <v>108</v>
      </c>
      <c r="E36" s="8" t="s">
        <v>1164</v>
      </c>
      <c r="F36" s="8" t="s">
        <v>108</v>
      </c>
      <c r="G36" s="8" t="s">
        <v>1158</v>
      </c>
      <c r="H36" s="8"/>
      <c r="I36" s="8" t="s">
        <v>8</v>
      </c>
      <c r="J36" s="8" t="s">
        <v>26</v>
      </c>
      <c r="K36" s="8" t="s">
        <v>1199</v>
      </c>
      <c r="L36" s="11"/>
      <c r="M36" s="6"/>
      <c r="N36" s="6"/>
    </row>
    <row r="37" spans="2:14" s="9" customFormat="1" ht="39" x14ac:dyDescent="0.35">
      <c r="B37" s="7" t="s">
        <v>101</v>
      </c>
      <c r="C37" s="10" t="s">
        <v>445</v>
      </c>
      <c r="D37" s="8" t="s">
        <v>110</v>
      </c>
      <c r="E37" s="8" t="s">
        <v>1164</v>
      </c>
      <c r="F37" s="8" t="s">
        <v>110</v>
      </c>
      <c r="G37" s="8" t="s">
        <v>1158</v>
      </c>
      <c r="H37" s="8"/>
      <c r="I37" s="8" t="s">
        <v>8</v>
      </c>
      <c r="J37" s="8" t="s">
        <v>26</v>
      </c>
      <c r="K37" s="8" t="s">
        <v>1200</v>
      </c>
      <c r="L37" s="11"/>
      <c r="M37" s="6"/>
      <c r="N37" s="6"/>
    </row>
    <row r="38" spans="2:14" s="9" customFormat="1" ht="52" x14ac:dyDescent="0.35">
      <c r="B38" s="7" t="s">
        <v>101</v>
      </c>
      <c r="C38" s="10" t="s">
        <v>445</v>
      </c>
      <c r="D38" s="8" t="s">
        <v>112</v>
      </c>
      <c r="E38" s="8" t="s">
        <v>1164</v>
      </c>
      <c r="F38" s="8" t="s">
        <v>112</v>
      </c>
      <c r="G38" s="8" t="s">
        <v>1158</v>
      </c>
      <c r="H38" s="8"/>
      <c r="I38" s="8" t="s">
        <v>8</v>
      </c>
      <c r="J38" s="8" t="s">
        <v>26</v>
      </c>
      <c r="K38" s="8" t="s">
        <v>1201</v>
      </c>
      <c r="L38" s="11"/>
      <c r="M38" s="6"/>
      <c r="N38" s="6"/>
    </row>
    <row r="39" spans="2:14" s="9" customFormat="1" ht="39" x14ac:dyDescent="0.35">
      <c r="B39" s="7" t="s">
        <v>101</v>
      </c>
      <c r="C39" s="10" t="s">
        <v>445</v>
      </c>
      <c r="D39" s="8" t="s">
        <v>114</v>
      </c>
      <c r="E39" s="8" t="s">
        <v>1164</v>
      </c>
      <c r="F39" s="8" t="s">
        <v>114</v>
      </c>
      <c r="G39" s="8" t="s">
        <v>1158</v>
      </c>
      <c r="H39" s="8"/>
      <c r="I39" s="8" t="s">
        <v>8</v>
      </c>
      <c r="J39" s="8" t="s">
        <v>26</v>
      </c>
      <c r="K39" s="8" t="s">
        <v>1202</v>
      </c>
      <c r="L39" s="11"/>
      <c r="M39" s="6"/>
      <c r="N39" s="6"/>
    </row>
    <row r="40" spans="2:14" s="9" customFormat="1" ht="39" x14ac:dyDescent="0.35">
      <c r="B40" s="7" t="s">
        <v>101</v>
      </c>
      <c r="C40" s="10" t="s">
        <v>445</v>
      </c>
      <c r="D40" s="8" t="s">
        <v>116</v>
      </c>
      <c r="E40" s="8" t="s">
        <v>1164</v>
      </c>
      <c r="F40" s="8" t="s">
        <v>116</v>
      </c>
      <c r="G40" s="8" t="s">
        <v>1158</v>
      </c>
      <c r="H40" s="8"/>
      <c r="I40" s="8" t="s">
        <v>8</v>
      </c>
      <c r="J40" s="8" t="s">
        <v>26</v>
      </c>
      <c r="K40" s="8" t="s">
        <v>1203</v>
      </c>
      <c r="L40" s="11"/>
      <c r="M40" s="6"/>
      <c r="N40" s="6"/>
    </row>
    <row r="41" spans="2:14" s="9" customFormat="1" ht="39" x14ac:dyDescent="0.35">
      <c r="B41" s="7" t="s">
        <v>101</v>
      </c>
      <c r="C41" s="10" t="s">
        <v>445</v>
      </c>
      <c r="D41" s="8" t="s">
        <v>118</v>
      </c>
      <c r="E41" s="8" t="s">
        <v>1164</v>
      </c>
      <c r="F41" s="8" t="s">
        <v>118</v>
      </c>
      <c r="G41" s="8" t="s">
        <v>1158</v>
      </c>
      <c r="H41" s="8"/>
      <c r="I41" s="8" t="s">
        <v>8</v>
      </c>
      <c r="J41" s="8" t="s">
        <v>26</v>
      </c>
      <c r="K41" s="8" t="s">
        <v>1204</v>
      </c>
      <c r="L41" s="11"/>
      <c r="M41" s="6"/>
      <c r="N41" s="6"/>
    </row>
    <row r="42" spans="2:14" s="9" customFormat="1" ht="39" x14ac:dyDescent="0.35">
      <c r="B42" s="7" t="s">
        <v>101</v>
      </c>
      <c r="C42" s="10" t="s">
        <v>445</v>
      </c>
      <c r="D42" s="8" t="s">
        <v>120</v>
      </c>
      <c r="E42" s="8" t="s">
        <v>1164</v>
      </c>
      <c r="F42" s="8" t="s">
        <v>120</v>
      </c>
      <c r="G42" s="8" t="s">
        <v>1158</v>
      </c>
      <c r="H42" s="8"/>
      <c r="I42" s="8" t="s">
        <v>8</v>
      </c>
      <c r="J42" s="8" t="s">
        <v>26</v>
      </c>
      <c r="K42" s="8" t="s">
        <v>1205</v>
      </c>
      <c r="L42" s="11"/>
      <c r="M42" s="6"/>
      <c r="N42" s="6"/>
    </row>
    <row r="43" spans="2:14" s="9" customFormat="1" ht="52" x14ac:dyDescent="0.35">
      <c r="B43" s="7" t="s">
        <v>101</v>
      </c>
      <c r="C43" s="10" t="s">
        <v>445</v>
      </c>
      <c r="D43" s="8" t="s">
        <v>122</v>
      </c>
      <c r="E43" s="8" t="s">
        <v>1164</v>
      </c>
      <c r="F43" s="8" t="s">
        <v>122</v>
      </c>
      <c r="G43" s="8" t="s">
        <v>1158</v>
      </c>
      <c r="H43" s="8"/>
      <c r="I43" s="8" t="s">
        <v>8</v>
      </c>
      <c r="J43" s="8" t="s">
        <v>26</v>
      </c>
      <c r="K43" s="8" t="s">
        <v>1206</v>
      </c>
      <c r="L43" s="11"/>
      <c r="M43" s="6"/>
      <c r="N43" s="6"/>
    </row>
    <row r="44" spans="2:14" s="9" customFormat="1" ht="39" x14ac:dyDescent="0.35">
      <c r="B44" s="7" t="s">
        <v>101</v>
      </c>
      <c r="C44" s="10" t="s">
        <v>445</v>
      </c>
      <c r="D44" s="8" t="s">
        <v>1207</v>
      </c>
      <c r="E44" s="8" t="s">
        <v>1164</v>
      </c>
      <c r="F44" s="8" t="s">
        <v>125</v>
      </c>
      <c r="G44" s="8" t="s">
        <v>1158</v>
      </c>
      <c r="H44" s="8"/>
      <c r="I44" s="8" t="s">
        <v>47</v>
      </c>
      <c r="J44" s="8" t="s">
        <v>26</v>
      </c>
      <c r="K44" s="8" t="s">
        <v>1208</v>
      </c>
      <c r="L44" s="11"/>
      <c r="M44" s="6"/>
      <c r="N44" s="6"/>
    </row>
    <row r="45" spans="2:14" s="9" customFormat="1" ht="39" x14ac:dyDescent="0.35">
      <c r="B45" s="7" t="s">
        <v>101</v>
      </c>
      <c r="C45" s="10" t="s">
        <v>484</v>
      </c>
      <c r="D45" s="8" t="s">
        <v>127</v>
      </c>
      <c r="E45" s="8" t="s">
        <v>1164</v>
      </c>
      <c r="F45" s="8" t="s">
        <v>128</v>
      </c>
      <c r="G45" s="8" t="s">
        <v>1158</v>
      </c>
      <c r="H45" s="8"/>
      <c r="I45" s="8" t="s">
        <v>47</v>
      </c>
      <c r="J45" s="8" t="s">
        <v>26</v>
      </c>
      <c r="K45" s="8" t="s">
        <v>1209</v>
      </c>
      <c r="L45" s="11"/>
      <c r="M45" s="6"/>
      <c r="N45" s="6"/>
    </row>
    <row r="46" spans="2:14" s="9" customFormat="1" ht="26" x14ac:dyDescent="0.35">
      <c r="B46" s="7" t="s">
        <v>101</v>
      </c>
      <c r="C46" s="10" t="s">
        <v>484</v>
      </c>
      <c r="D46" s="8" t="s">
        <v>130</v>
      </c>
      <c r="E46" s="8" t="s">
        <v>1164</v>
      </c>
      <c r="F46" s="8" t="s">
        <v>131</v>
      </c>
      <c r="G46" s="8" t="s">
        <v>1158</v>
      </c>
      <c r="H46" s="8"/>
      <c r="I46" s="8" t="s">
        <v>47</v>
      </c>
      <c r="J46" s="8" t="s">
        <v>26</v>
      </c>
      <c r="K46" s="8" t="s">
        <v>1210</v>
      </c>
      <c r="L46" s="11"/>
      <c r="M46" s="6"/>
      <c r="N46" s="6"/>
    </row>
    <row r="47" spans="2:14" s="9" customFormat="1" ht="39" x14ac:dyDescent="0.35">
      <c r="B47" s="7" t="s">
        <v>101</v>
      </c>
      <c r="C47" s="10" t="s">
        <v>484</v>
      </c>
      <c r="D47" s="8" t="s">
        <v>133</v>
      </c>
      <c r="E47" s="8" t="s">
        <v>1164</v>
      </c>
      <c r="F47" s="8" t="s">
        <v>134</v>
      </c>
      <c r="G47" s="8" t="s">
        <v>1158</v>
      </c>
      <c r="H47" s="8"/>
      <c r="I47" s="8" t="s">
        <v>47</v>
      </c>
      <c r="J47" s="8" t="s">
        <v>26</v>
      </c>
      <c r="K47" s="8" t="s">
        <v>1211</v>
      </c>
      <c r="L47" s="11"/>
      <c r="M47" s="6"/>
      <c r="N47" s="6"/>
    </row>
    <row r="48" spans="2:14" s="9" customFormat="1" ht="26" x14ac:dyDescent="0.35">
      <c r="B48" s="7" t="s">
        <v>101</v>
      </c>
      <c r="C48" s="10" t="s">
        <v>484</v>
      </c>
      <c r="D48" s="8" t="s">
        <v>136</v>
      </c>
      <c r="E48" s="8" t="s">
        <v>1164</v>
      </c>
      <c r="F48" s="8" t="s">
        <v>137</v>
      </c>
      <c r="G48" s="8" t="s">
        <v>1158</v>
      </c>
      <c r="H48" s="8"/>
      <c r="I48" s="8" t="s">
        <v>47</v>
      </c>
      <c r="J48" s="8" t="s">
        <v>26</v>
      </c>
      <c r="K48" s="8" t="s">
        <v>1212</v>
      </c>
      <c r="L48" s="11"/>
      <c r="M48" s="6"/>
      <c r="N48" s="6"/>
    </row>
    <row r="49" spans="2:17" s="9" customFormat="1" ht="39" x14ac:dyDescent="0.35">
      <c r="B49" s="7" t="s">
        <v>101</v>
      </c>
      <c r="C49" s="10" t="s">
        <v>484</v>
      </c>
      <c r="D49" s="12" t="s">
        <v>139</v>
      </c>
      <c r="E49" s="8" t="s">
        <v>1164</v>
      </c>
      <c r="F49" s="8" t="s">
        <v>140</v>
      </c>
      <c r="G49" s="8" t="s">
        <v>1158</v>
      </c>
      <c r="H49" s="8"/>
      <c r="I49" s="8" t="s">
        <v>47</v>
      </c>
      <c r="J49" s="8" t="s">
        <v>26</v>
      </c>
      <c r="K49" s="8" t="s">
        <v>1213</v>
      </c>
      <c r="L49" s="11"/>
      <c r="M49" s="6"/>
      <c r="N49" s="6"/>
    </row>
    <row r="50" spans="2:17" s="9" customFormat="1" ht="39" x14ac:dyDescent="0.35">
      <c r="B50" s="7" t="s">
        <v>101</v>
      </c>
      <c r="C50" s="10" t="s">
        <v>484</v>
      </c>
      <c r="D50" s="12" t="s">
        <v>142</v>
      </c>
      <c r="E50" s="8" t="s">
        <v>1164</v>
      </c>
      <c r="F50" s="12" t="s">
        <v>143</v>
      </c>
      <c r="G50" s="8" t="s">
        <v>1158</v>
      </c>
      <c r="H50" s="12"/>
      <c r="I50" s="8" t="s">
        <v>47</v>
      </c>
      <c r="J50" s="8" t="s">
        <v>26</v>
      </c>
      <c r="K50" s="8" t="s">
        <v>1214</v>
      </c>
      <c r="L50" s="11"/>
      <c r="M50" s="6"/>
      <c r="N50" s="6"/>
    </row>
    <row r="51" spans="2:17" s="9" customFormat="1" ht="26" x14ac:dyDescent="0.35">
      <c r="B51" s="7" t="s">
        <v>101</v>
      </c>
      <c r="C51" s="10" t="s">
        <v>484</v>
      </c>
      <c r="D51" s="12" t="s">
        <v>145</v>
      </c>
      <c r="E51" s="8" t="s">
        <v>1164</v>
      </c>
      <c r="F51" s="12" t="s">
        <v>146</v>
      </c>
      <c r="G51" s="8" t="s">
        <v>1158</v>
      </c>
      <c r="H51" s="12"/>
      <c r="I51" s="8" t="s">
        <v>47</v>
      </c>
      <c r="J51" s="8" t="s">
        <v>26</v>
      </c>
      <c r="K51" s="8" t="s">
        <v>1215</v>
      </c>
      <c r="L51" s="11"/>
      <c r="M51" s="6"/>
      <c r="N51" s="6"/>
    </row>
    <row r="52" spans="2:17" s="9" customFormat="1" ht="52" x14ac:dyDescent="0.35">
      <c r="B52" s="7" t="s">
        <v>101</v>
      </c>
      <c r="C52" s="10" t="s">
        <v>484</v>
      </c>
      <c r="D52" s="12" t="s">
        <v>1216</v>
      </c>
      <c r="E52" s="8" t="s">
        <v>1164</v>
      </c>
      <c r="F52" s="12" t="s">
        <v>149</v>
      </c>
      <c r="G52" s="8" t="s">
        <v>1158</v>
      </c>
      <c r="H52" s="12"/>
      <c r="I52" s="8" t="s">
        <v>47</v>
      </c>
      <c r="J52" s="8" t="s">
        <v>26</v>
      </c>
      <c r="K52" s="8" t="s">
        <v>1217</v>
      </c>
      <c r="L52" s="11"/>
      <c r="M52" s="6"/>
      <c r="N52" s="6"/>
    </row>
    <row r="53" spans="2:17" s="9" customFormat="1" ht="26" x14ac:dyDescent="0.35">
      <c r="B53" s="7" t="s">
        <v>101</v>
      </c>
      <c r="C53" s="10" t="s">
        <v>484</v>
      </c>
      <c r="D53" s="12" t="s">
        <v>151</v>
      </c>
      <c r="E53" s="8" t="s">
        <v>1164</v>
      </c>
      <c r="F53" s="12" t="s">
        <v>152</v>
      </c>
      <c r="G53" s="8" t="s">
        <v>1158</v>
      </c>
      <c r="H53" s="12"/>
      <c r="I53" s="8" t="s">
        <v>47</v>
      </c>
      <c r="J53" s="8" t="s">
        <v>26</v>
      </c>
      <c r="K53" s="8" t="s">
        <v>1218</v>
      </c>
      <c r="L53" s="11"/>
      <c r="M53" s="6"/>
      <c r="N53" s="6"/>
    </row>
    <row r="54" spans="2:17" s="9" customFormat="1" ht="39" x14ac:dyDescent="0.35">
      <c r="B54" s="7" t="s">
        <v>101</v>
      </c>
      <c r="C54" s="10" t="s">
        <v>484</v>
      </c>
      <c r="D54" s="12" t="s">
        <v>154</v>
      </c>
      <c r="E54" s="8" t="s">
        <v>1164</v>
      </c>
      <c r="F54" s="12" t="s">
        <v>155</v>
      </c>
      <c r="G54" s="8" t="s">
        <v>1158</v>
      </c>
      <c r="H54" s="12"/>
      <c r="I54" s="8" t="s">
        <v>47</v>
      </c>
      <c r="J54" s="8" t="s">
        <v>26</v>
      </c>
      <c r="K54" s="8" t="s">
        <v>1219</v>
      </c>
      <c r="L54" s="11"/>
      <c r="M54" s="6"/>
      <c r="N54" s="6"/>
    </row>
    <row r="55" spans="2:17" s="9" customFormat="1" ht="39" x14ac:dyDescent="0.35">
      <c r="B55" s="7" t="s">
        <v>101</v>
      </c>
      <c r="C55" s="10" t="s">
        <v>484</v>
      </c>
      <c r="D55" s="12" t="s">
        <v>157</v>
      </c>
      <c r="E55" s="8" t="s">
        <v>1164</v>
      </c>
      <c r="F55" s="8" t="s">
        <v>158</v>
      </c>
      <c r="G55" s="8" t="s">
        <v>1158</v>
      </c>
      <c r="H55" s="8"/>
      <c r="I55" s="8" t="s">
        <v>47</v>
      </c>
      <c r="J55" s="8" t="s">
        <v>26</v>
      </c>
      <c r="K55" s="8" t="s">
        <v>1220</v>
      </c>
      <c r="L55" s="11"/>
      <c r="M55" s="6"/>
      <c r="N55" s="6"/>
    </row>
    <row r="56" spans="2:17" s="9" customFormat="1" ht="39" x14ac:dyDescent="0.35">
      <c r="B56" s="7" t="s">
        <v>101</v>
      </c>
      <c r="C56" s="10" t="s">
        <v>484</v>
      </c>
      <c r="D56" s="8" t="s">
        <v>160</v>
      </c>
      <c r="E56" s="8" t="s">
        <v>1164</v>
      </c>
      <c r="F56" s="8" t="s">
        <v>161</v>
      </c>
      <c r="G56" s="8" t="s">
        <v>1158</v>
      </c>
      <c r="H56" s="8"/>
      <c r="I56" s="8" t="s">
        <v>47</v>
      </c>
      <c r="J56" s="8" t="s">
        <v>26</v>
      </c>
      <c r="K56" s="8" t="s">
        <v>1221</v>
      </c>
      <c r="L56" s="11"/>
      <c r="M56" s="6"/>
      <c r="N56" s="6"/>
    </row>
    <row r="57" spans="2:17" s="9" customFormat="1" ht="39" x14ac:dyDescent="0.35">
      <c r="B57" s="7" t="s">
        <v>101</v>
      </c>
      <c r="C57" s="10" t="s">
        <v>484</v>
      </c>
      <c r="D57" s="12" t="s">
        <v>1222</v>
      </c>
      <c r="E57" s="8" t="s">
        <v>1164</v>
      </c>
      <c r="F57" s="8" t="s">
        <v>164</v>
      </c>
      <c r="G57" s="8" t="s">
        <v>1158</v>
      </c>
      <c r="H57" s="8"/>
      <c r="I57" s="8" t="s">
        <v>47</v>
      </c>
      <c r="J57" s="8" t="s">
        <v>26</v>
      </c>
      <c r="K57" s="8" t="s">
        <v>1223</v>
      </c>
      <c r="L57" s="11"/>
      <c r="M57" s="6"/>
      <c r="N57" s="6"/>
    </row>
    <row r="58" spans="2:17" s="9" customFormat="1" ht="39" x14ac:dyDescent="0.35">
      <c r="B58" s="7" t="s">
        <v>101</v>
      </c>
      <c r="C58" s="10" t="s">
        <v>484</v>
      </c>
      <c r="D58" s="12" t="s">
        <v>166</v>
      </c>
      <c r="E58" s="8" t="s">
        <v>1164</v>
      </c>
      <c r="F58" s="8" t="s">
        <v>167</v>
      </c>
      <c r="G58" s="8" t="s">
        <v>1158</v>
      </c>
      <c r="H58" s="8"/>
      <c r="I58" s="8" t="s">
        <v>47</v>
      </c>
      <c r="J58" s="8" t="s">
        <v>26</v>
      </c>
      <c r="K58" s="8" t="s">
        <v>1224</v>
      </c>
      <c r="L58" s="11"/>
      <c r="M58" s="6"/>
      <c r="N58" s="6"/>
    </row>
    <row r="59" spans="2:17" s="9" customFormat="1" ht="39" x14ac:dyDescent="0.35">
      <c r="B59" s="7" t="s">
        <v>101</v>
      </c>
      <c r="C59" s="10" t="s">
        <v>484</v>
      </c>
      <c r="D59" s="12" t="s">
        <v>169</v>
      </c>
      <c r="E59" s="8" t="s">
        <v>1164</v>
      </c>
      <c r="F59" s="8" t="s">
        <v>170</v>
      </c>
      <c r="G59" s="8" t="s">
        <v>1158</v>
      </c>
      <c r="H59" s="8"/>
      <c r="I59" s="8" t="s">
        <v>47</v>
      </c>
      <c r="J59" s="8" t="s">
        <v>26</v>
      </c>
      <c r="K59" s="8" t="s">
        <v>1225</v>
      </c>
      <c r="L59" s="11"/>
      <c r="M59" s="6"/>
      <c r="N59" s="6"/>
    </row>
    <row r="60" spans="2:17" s="9" customFormat="1" ht="39" x14ac:dyDescent="0.35">
      <c r="B60" s="7" t="s">
        <v>101</v>
      </c>
      <c r="C60" s="10" t="s">
        <v>484</v>
      </c>
      <c r="D60" s="12" t="s">
        <v>172</v>
      </c>
      <c r="E60" s="8" t="s">
        <v>1164</v>
      </c>
      <c r="F60" s="8" t="s">
        <v>173</v>
      </c>
      <c r="G60" s="8" t="s">
        <v>1158</v>
      </c>
      <c r="H60" s="8"/>
      <c r="I60" s="8" t="s">
        <v>47</v>
      </c>
      <c r="J60" s="8" t="s">
        <v>26</v>
      </c>
      <c r="K60" s="8" t="s">
        <v>1226</v>
      </c>
      <c r="L60" s="11"/>
      <c r="M60" s="6"/>
      <c r="N60" s="6"/>
    </row>
    <row r="61" spans="2:17" s="9" customFormat="1" ht="52" x14ac:dyDescent="0.35">
      <c r="B61" s="7" t="s">
        <v>101</v>
      </c>
      <c r="C61" s="10" t="s">
        <v>484</v>
      </c>
      <c r="D61" s="12" t="s">
        <v>1227</v>
      </c>
      <c r="E61" s="8" t="s">
        <v>1164</v>
      </c>
      <c r="F61" s="8" t="s">
        <v>176</v>
      </c>
      <c r="G61" s="8" t="s">
        <v>1158</v>
      </c>
      <c r="H61" s="8"/>
      <c r="I61" s="8" t="s">
        <v>47</v>
      </c>
      <c r="J61" s="8" t="s">
        <v>26</v>
      </c>
      <c r="K61" s="8" t="s">
        <v>1228</v>
      </c>
      <c r="L61" s="11"/>
      <c r="M61" s="6"/>
      <c r="N61" s="6"/>
    </row>
    <row r="62" spans="2:17" s="9" customFormat="1" ht="39" x14ac:dyDescent="0.35">
      <c r="B62" s="7" t="s">
        <v>101</v>
      </c>
      <c r="C62" s="10" t="s">
        <v>484</v>
      </c>
      <c r="D62" s="8" t="s">
        <v>1229</v>
      </c>
      <c r="E62" s="8" t="s">
        <v>1164</v>
      </c>
      <c r="F62" s="8" t="s">
        <v>179</v>
      </c>
      <c r="G62" s="8" t="s">
        <v>1158</v>
      </c>
      <c r="H62" s="8"/>
      <c r="I62" s="8" t="s">
        <v>8</v>
      </c>
      <c r="J62" s="8" t="s">
        <v>26</v>
      </c>
      <c r="K62" s="8" t="s">
        <v>1230</v>
      </c>
      <c r="L62" s="11"/>
      <c r="M62" s="6"/>
      <c r="N62" s="6"/>
    </row>
    <row r="63" spans="2:17" ht="247" x14ac:dyDescent="0.35">
      <c r="B63" s="7" t="s">
        <v>101</v>
      </c>
      <c r="C63" s="10" t="s">
        <v>545</v>
      </c>
      <c r="D63" s="8" t="s">
        <v>181</v>
      </c>
      <c r="E63" s="8" t="s">
        <v>1164</v>
      </c>
      <c r="F63" s="18" t="s">
        <v>182</v>
      </c>
      <c r="G63" s="8" t="s">
        <v>1158</v>
      </c>
      <c r="H63" s="18"/>
      <c r="I63" s="8" t="s">
        <v>8</v>
      </c>
      <c r="J63" s="8" t="s">
        <v>26</v>
      </c>
      <c r="K63" s="8" t="s">
        <v>1231</v>
      </c>
      <c r="L63" s="11"/>
    </row>
    <row r="64" spans="2:17" ht="39" x14ac:dyDescent="0.35">
      <c r="B64" s="7" t="s">
        <v>101</v>
      </c>
      <c r="C64" s="10" t="s">
        <v>545</v>
      </c>
      <c r="D64" s="8" t="s">
        <v>184</v>
      </c>
      <c r="E64" s="8" t="s">
        <v>1164</v>
      </c>
      <c r="F64" s="10" t="s">
        <v>185</v>
      </c>
      <c r="G64" s="8" t="s">
        <v>1158</v>
      </c>
      <c r="H64" s="10"/>
      <c r="I64" s="8" t="s">
        <v>6</v>
      </c>
      <c r="J64" s="8" t="s">
        <v>26</v>
      </c>
      <c r="K64" s="8" t="s">
        <v>1232</v>
      </c>
      <c r="L64" s="11"/>
      <c r="Q64" s="6" t="s">
        <v>553</v>
      </c>
    </row>
    <row r="65" spans="1:14" ht="39" x14ac:dyDescent="0.35">
      <c r="B65" s="7" t="s">
        <v>101</v>
      </c>
      <c r="C65" s="10" t="s">
        <v>545</v>
      </c>
      <c r="D65" s="8" t="s">
        <v>187</v>
      </c>
      <c r="E65" s="8" t="s">
        <v>1164</v>
      </c>
      <c r="F65" s="10" t="s">
        <v>69</v>
      </c>
      <c r="G65" s="8" t="s">
        <v>1158</v>
      </c>
      <c r="H65" s="10"/>
      <c r="I65" s="8" t="s">
        <v>14</v>
      </c>
      <c r="J65" s="8" t="s">
        <v>26</v>
      </c>
      <c r="K65" s="8" t="s">
        <v>1233</v>
      </c>
      <c r="L65" s="11"/>
    </row>
    <row r="66" spans="1:14" ht="39" x14ac:dyDescent="0.35">
      <c r="B66" s="7" t="s">
        <v>101</v>
      </c>
      <c r="C66" s="10" t="s">
        <v>545</v>
      </c>
      <c r="D66" s="8" t="s">
        <v>189</v>
      </c>
      <c r="E66" s="8" t="s">
        <v>1164</v>
      </c>
      <c r="F66" s="10" t="s">
        <v>190</v>
      </c>
      <c r="G66" s="8" t="s">
        <v>1158</v>
      </c>
      <c r="H66" s="10"/>
      <c r="I66" s="8" t="s">
        <v>14</v>
      </c>
      <c r="J66" s="8" t="s">
        <v>26</v>
      </c>
      <c r="K66" s="8" t="s">
        <v>1234</v>
      </c>
      <c r="L66" s="11"/>
    </row>
    <row r="67" spans="1:14" ht="39" x14ac:dyDescent="0.35">
      <c r="B67" s="7" t="s">
        <v>101</v>
      </c>
      <c r="C67" s="10" t="s">
        <v>545</v>
      </c>
      <c r="D67" s="8" t="s">
        <v>192</v>
      </c>
      <c r="E67" s="8" t="s">
        <v>1164</v>
      </c>
      <c r="F67" s="10" t="s">
        <v>193</v>
      </c>
      <c r="G67" s="8" t="s">
        <v>1158</v>
      </c>
      <c r="H67" s="10"/>
      <c r="I67" s="8" t="s">
        <v>14</v>
      </c>
      <c r="J67" s="8" t="s">
        <v>26</v>
      </c>
      <c r="K67" s="8" t="s">
        <v>1235</v>
      </c>
      <c r="L67" s="11"/>
    </row>
    <row r="68" spans="1:14" ht="39" x14ac:dyDescent="0.35">
      <c r="B68" s="7" t="s">
        <v>101</v>
      </c>
      <c r="C68" s="10" t="s">
        <v>545</v>
      </c>
      <c r="D68" s="8" t="s">
        <v>1236</v>
      </c>
      <c r="E68" s="8" t="s">
        <v>1164</v>
      </c>
      <c r="F68" s="10" t="s">
        <v>196</v>
      </c>
      <c r="G68" s="8" t="s">
        <v>1158</v>
      </c>
      <c r="H68" s="10"/>
      <c r="I68" s="8" t="s">
        <v>14</v>
      </c>
      <c r="J68" s="8" t="s">
        <v>26</v>
      </c>
      <c r="K68" s="8" t="s">
        <v>1237</v>
      </c>
      <c r="L68" s="11"/>
    </row>
    <row r="69" spans="1:14" ht="39" x14ac:dyDescent="0.35">
      <c r="B69" s="7" t="s">
        <v>101</v>
      </c>
      <c r="C69" s="10" t="s">
        <v>545</v>
      </c>
      <c r="D69" s="8" t="s">
        <v>198</v>
      </c>
      <c r="E69" s="8" t="s">
        <v>1164</v>
      </c>
      <c r="F69" s="8" t="s">
        <v>199</v>
      </c>
      <c r="G69" s="8" t="s">
        <v>1158</v>
      </c>
      <c r="H69" s="8"/>
      <c r="I69" s="8" t="s">
        <v>8</v>
      </c>
      <c r="J69" s="8" t="s">
        <v>26</v>
      </c>
      <c r="K69" s="8" t="s">
        <v>1238</v>
      </c>
      <c r="L69" s="11"/>
    </row>
    <row r="70" spans="1:14" ht="221" x14ac:dyDescent="0.35">
      <c r="B70" s="7" t="s">
        <v>101</v>
      </c>
      <c r="C70" s="29" t="s">
        <v>545</v>
      </c>
      <c r="D70" s="29" t="s">
        <v>309</v>
      </c>
      <c r="E70" s="6" t="s">
        <v>1158</v>
      </c>
      <c r="F70" s="6" t="s">
        <v>1239</v>
      </c>
      <c r="G70" s="6" t="s">
        <v>1158</v>
      </c>
      <c r="I70" s="6" t="s">
        <v>1159</v>
      </c>
      <c r="J70" s="6" t="s">
        <v>1240</v>
      </c>
      <c r="K70" s="6" t="s">
        <v>1241</v>
      </c>
    </row>
    <row r="71" spans="1:14" s="9" customFormat="1" ht="117" x14ac:dyDescent="0.35">
      <c r="A71" s="6"/>
      <c r="B71" s="7" t="s">
        <v>101</v>
      </c>
      <c r="C71" s="10" t="s">
        <v>545</v>
      </c>
      <c r="D71" s="10" t="s">
        <v>311</v>
      </c>
      <c r="E71" s="8" t="s">
        <v>1158</v>
      </c>
      <c r="F71" s="8" t="s">
        <v>1242</v>
      </c>
      <c r="G71" s="27" t="s">
        <v>1158</v>
      </c>
      <c r="H71" s="27"/>
      <c r="I71" s="6" t="s">
        <v>1159</v>
      </c>
      <c r="J71" s="8" t="s">
        <v>1243</v>
      </c>
      <c r="K71" s="8" t="s">
        <v>1244</v>
      </c>
      <c r="L71" s="11"/>
      <c r="M71" s="6"/>
      <c r="N71" s="6"/>
    </row>
    <row r="72" spans="1:14" s="9" customFormat="1" ht="143" x14ac:dyDescent="0.35">
      <c r="A72" s="6"/>
      <c r="B72" s="7" t="s">
        <v>101</v>
      </c>
      <c r="C72" s="10" t="s">
        <v>545</v>
      </c>
      <c r="D72" s="10" t="s">
        <v>313</v>
      </c>
      <c r="E72" s="8" t="s">
        <v>1158</v>
      </c>
      <c r="F72" s="8" t="s">
        <v>1245</v>
      </c>
      <c r="G72" s="27" t="s">
        <v>1158</v>
      </c>
      <c r="H72" s="27"/>
      <c r="I72" s="6" t="s">
        <v>1159</v>
      </c>
      <c r="J72" s="8" t="s">
        <v>1246</v>
      </c>
      <c r="K72" s="8" t="s">
        <v>1247</v>
      </c>
      <c r="L72" s="11"/>
      <c r="M72" s="6"/>
      <c r="N72" s="6"/>
    </row>
    <row r="73" spans="1:14" s="9" customFormat="1" ht="208" x14ac:dyDescent="0.35">
      <c r="A73" s="6"/>
      <c r="B73" s="7" t="s">
        <v>101</v>
      </c>
      <c r="C73" s="10" t="s">
        <v>545</v>
      </c>
      <c r="D73" s="10" t="s">
        <v>315</v>
      </c>
      <c r="E73" s="8" t="s">
        <v>1158</v>
      </c>
      <c r="F73" s="8" t="s">
        <v>1248</v>
      </c>
      <c r="G73" s="27" t="s">
        <v>1158</v>
      </c>
      <c r="H73" s="27"/>
      <c r="I73" s="6" t="s">
        <v>1159</v>
      </c>
      <c r="J73" s="8" t="s">
        <v>1249</v>
      </c>
      <c r="K73" s="8" t="s">
        <v>1250</v>
      </c>
      <c r="L73" s="11"/>
      <c r="M73" s="6"/>
      <c r="N73" s="6"/>
    </row>
    <row r="74" spans="1:14" ht="195" x14ac:dyDescent="0.35">
      <c r="B74" s="13" t="s">
        <v>101</v>
      </c>
      <c r="C74" s="8" t="s">
        <v>545</v>
      </c>
      <c r="D74" s="8" t="s">
        <v>1251</v>
      </c>
      <c r="E74" s="8" t="s">
        <v>1158</v>
      </c>
      <c r="F74" s="8" t="s">
        <v>208</v>
      </c>
      <c r="G74" s="8" t="s">
        <v>1158</v>
      </c>
      <c r="H74" s="8"/>
      <c r="I74" s="8" t="s">
        <v>47</v>
      </c>
      <c r="J74" s="8" t="s">
        <v>1252</v>
      </c>
      <c r="K74" s="8" t="s">
        <v>1253</v>
      </c>
      <c r="L74" s="11"/>
    </row>
    <row r="75" spans="1:14" ht="169" x14ac:dyDescent="0.35">
      <c r="B75" s="7" t="s">
        <v>101</v>
      </c>
      <c r="C75" s="29" t="s">
        <v>545</v>
      </c>
      <c r="D75" s="29" t="s">
        <v>317</v>
      </c>
      <c r="E75" s="6" t="s">
        <v>1158</v>
      </c>
      <c r="F75" s="6" t="s">
        <v>1254</v>
      </c>
      <c r="G75" s="9" t="s">
        <v>1158</v>
      </c>
      <c r="I75" s="6" t="s">
        <v>1159</v>
      </c>
      <c r="J75" s="6" t="s">
        <v>1255</v>
      </c>
      <c r="K75" s="6" t="s">
        <v>1256</v>
      </c>
    </row>
    <row r="76" spans="1:14" s="9" customFormat="1" ht="169" x14ac:dyDescent="0.35">
      <c r="A76" s="6"/>
      <c r="B76" s="7" t="s">
        <v>101</v>
      </c>
      <c r="C76" s="10" t="s">
        <v>545</v>
      </c>
      <c r="D76" s="10" t="s">
        <v>319</v>
      </c>
      <c r="E76" s="8" t="s">
        <v>1158</v>
      </c>
      <c r="F76" s="8" t="s">
        <v>1257</v>
      </c>
      <c r="G76" s="27" t="s">
        <v>1158</v>
      </c>
      <c r="H76" s="27"/>
      <c r="I76" s="6" t="s">
        <v>1159</v>
      </c>
      <c r="J76" s="8" t="s">
        <v>1258</v>
      </c>
      <c r="K76" s="8" t="s">
        <v>1259</v>
      </c>
      <c r="L76" s="11"/>
      <c r="M76" s="6"/>
      <c r="N76" s="6"/>
    </row>
    <row r="77" spans="1:14" s="9" customFormat="1" ht="182" x14ac:dyDescent="0.35">
      <c r="A77" s="6"/>
      <c r="B77" s="7" t="s">
        <v>101</v>
      </c>
      <c r="C77" s="10" t="s">
        <v>545</v>
      </c>
      <c r="D77" s="10" t="s">
        <v>321</v>
      </c>
      <c r="E77" s="8" t="s">
        <v>1158</v>
      </c>
      <c r="F77" s="8" t="s">
        <v>1260</v>
      </c>
      <c r="G77" s="27" t="s">
        <v>1158</v>
      </c>
      <c r="H77" s="27"/>
      <c r="I77" s="6" t="s">
        <v>1159</v>
      </c>
      <c r="J77" s="8" t="s">
        <v>1261</v>
      </c>
      <c r="K77" s="8" t="s">
        <v>1262</v>
      </c>
      <c r="L77" s="11"/>
      <c r="M77" s="6"/>
      <c r="N77" s="6"/>
    </row>
    <row r="78" spans="1:14" s="9" customFormat="1" ht="169" x14ac:dyDescent="0.35">
      <c r="A78" s="6"/>
      <c r="B78" s="7" t="s">
        <v>101</v>
      </c>
      <c r="C78" s="10" t="s">
        <v>545</v>
      </c>
      <c r="D78" s="10" t="s">
        <v>323</v>
      </c>
      <c r="E78" s="8" t="s">
        <v>1158</v>
      </c>
      <c r="F78" s="8" t="s">
        <v>1263</v>
      </c>
      <c r="G78" s="27" t="s">
        <v>1158</v>
      </c>
      <c r="H78" s="27"/>
      <c r="I78" s="6" t="s">
        <v>1159</v>
      </c>
      <c r="J78" s="8" t="s">
        <v>1264</v>
      </c>
      <c r="K78" s="8" t="s">
        <v>1265</v>
      </c>
      <c r="L78" s="11"/>
      <c r="M78" s="6"/>
      <c r="N78" s="6"/>
    </row>
    <row r="79" spans="1:14" s="9" customFormat="1" ht="247" x14ac:dyDescent="0.35">
      <c r="A79" s="6"/>
      <c r="B79" s="7" t="s">
        <v>101</v>
      </c>
      <c r="C79" s="10" t="s">
        <v>545</v>
      </c>
      <c r="D79" s="10" t="s">
        <v>1266</v>
      </c>
      <c r="E79" s="8" t="s">
        <v>1158</v>
      </c>
      <c r="F79" s="8" t="s">
        <v>1267</v>
      </c>
      <c r="G79" s="27" t="s">
        <v>1158</v>
      </c>
      <c r="H79" s="27"/>
      <c r="I79" s="6" t="s">
        <v>1159</v>
      </c>
      <c r="J79" s="8" t="s">
        <v>1268</v>
      </c>
      <c r="K79" s="8" t="s">
        <v>1269</v>
      </c>
      <c r="L79" s="11"/>
      <c r="M79" s="6"/>
      <c r="N79" s="6"/>
    </row>
    <row r="80" spans="1:14" ht="208" x14ac:dyDescent="0.35">
      <c r="B80" s="7" t="s">
        <v>101</v>
      </c>
      <c r="C80" s="29" t="s">
        <v>545</v>
      </c>
      <c r="D80" s="29" t="s">
        <v>327</v>
      </c>
      <c r="E80" s="6" t="s">
        <v>1158</v>
      </c>
      <c r="F80" s="6" t="s">
        <v>1270</v>
      </c>
      <c r="G80" s="9" t="s">
        <v>1158</v>
      </c>
      <c r="I80" s="6" t="s">
        <v>1159</v>
      </c>
      <c r="J80" s="6" t="s">
        <v>1271</v>
      </c>
      <c r="K80" s="6" t="s">
        <v>1272</v>
      </c>
    </row>
    <row r="81" spans="1:14" ht="65" x14ac:dyDescent="0.35">
      <c r="B81" s="13" t="s">
        <v>101</v>
      </c>
      <c r="C81" s="8" t="s">
        <v>545</v>
      </c>
      <c r="D81" s="8" t="s">
        <v>213</v>
      </c>
      <c r="E81" s="8" t="s">
        <v>1158</v>
      </c>
      <c r="F81" s="8" t="s">
        <v>1273</v>
      </c>
      <c r="G81" s="8" t="s">
        <v>1158</v>
      </c>
      <c r="H81" s="8"/>
      <c r="I81" s="8" t="s">
        <v>8</v>
      </c>
      <c r="J81" s="8" t="s">
        <v>1274</v>
      </c>
      <c r="K81" s="8" t="s">
        <v>1275</v>
      </c>
      <c r="L81" s="11"/>
    </row>
    <row r="82" spans="1:14" s="9" customFormat="1" ht="195" x14ac:dyDescent="0.35">
      <c r="A82" s="6"/>
      <c r="B82" s="7" t="s">
        <v>101</v>
      </c>
      <c r="C82" s="10" t="s">
        <v>545</v>
      </c>
      <c r="D82" s="10" t="s">
        <v>329</v>
      </c>
      <c r="E82" s="8" t="s">
        <v>1158</v>
      </c>
      <c r="F82" s="8" t="s">
        <v>1276</v>
      </c>
      <c r="G82" s="27" t="s">
        <v>1158</v>
      </c>
      <c r="H82" s="27"/>
      <c r="I82" s="6" t="s">
        <v>1159</v>
      </c>
      <c r="J82" s="8" t="s">
        <v>1277</v>
      </c>
      <c r="K82" s="8" t="s">
        <v>1278</v>
      </c>
      <c r="L82" s="11"/>
      <c r="M82" s="6"/>
      <c r="N82" s="6"/>
    </row>
    <row r="83" spans="1:14" s="9" customFormat="1" ht="247" x14ac:dyDescent="0.35">
      <c r="A83" s="6"/>
      <c r="B83" s="7" t="s">
        <v>101</v>
      </c>
      <c r="C83" s="10" t="s">
        <v>545</v>
      </c>
      <c r="D83" s="10" t="s">
        <v>331</v>
      </c>
      <c r="E83" s="8" t="s">
        <v>1158</v>
      </c>
      <c r="F83" s="8" t="s">
        <v>1279</v>
      </c>
      <c r="G83" s="27" t="s">
        <v>1158</v>
      </c>
      <c r="H83" s="27"/>
      <c r="I83" s="6" t="s">
        <v>1159</v>
      </c>
      <c r="J83" s="8" t="s">
        <v>1280</v>
      </c>
      <c r="K83" s="8" t="s">
        <v>1281</v>
      </c>
      <c r="L83" s="11"/>
      <c r="M83" s="6"/>
      <c r="N83" s="6"/>
    </row>
    <row r="84" spans="1:14" ht="156" x14ac:dyDescent="0.35">
      <c r="B84" s="7" t="s">
        <v>101</v>
      </c>
      <c r="C84" s="29" t="s">
        <v>545</v>
      </c>
      <c r="D84" s="29" t="s">
        <v>333</v>
      </c>
      <c r="E84" s="6" t="s">
        <v>1158</v>
      </c>
      <c r="F84" s="6" t="s">
        <v>1282</v>
      </c>
      <c r="G84" s="9" t="s">
        <v>1158</v>
      </c>
      <c r="I84" s="6" t="s">
        <v>1159</v>
      </c>
      <c r="J84" s="6" t="s">
        <v>1283</v>
      </c>
      <c r="K84" s="6" t="s">
        <v>1284</v>
      </c>
    </row>
    <row r="85" spans="1:14" s="9" customFormat="1" ht="14.5" x14ac:dyDescent="0.35">
      <c r="A85" s="6"/>
      <c r="B85" s="13" t="s">
        <v>600</v>
      </c>
      <c r="C85" s="62"/>
      <c r="D85" s="8" t="s">
        <v>1171</v>
      </c>
      <c r="E85" s="8" t="s">
        <v>1164</v>
      </c>
      <c r="F85" s="8"/>
      <c r="G85" s="8" t="s">
        <v>1164</v>
      </c>
      <c r="H85" s="8" t="s">
        <v>359</v>
      </c>
      <c r="I85" s="8" t="s">
        <v>26</v>
      </c>
      <c r="J85" s="8" t="s">
        <v>26</v>
      </c>
      <c r="K85" s="8" t="s">
        <v>1285</v>
      </c>
      <c r="L85" s="11"/>
      <c r="M85" s="6"/>
      <c r="N85" s="6"/>
    </row>
    <row r="86" spans="1:14" s="9" customFormat="1" ht="65" x14ac:dyDescent="0.35">
      <c r="B86" s="13" t="s">
        <v>600</v>
      </c>
      <c r="C86" s="8"/>
      <c r="D86" s="8" t="s">
        <v>229</v>
      </c>
      <c r="E86" s="8" t="s">
        <v>1164</v>
      </c>
      <c r="F86" s="8" t="s">
        <v>1286</v>
      </c>
      <c r="G86" s="8" t="s">
        <v>1158</v>
      </c>
      <c r="H86" s="8"/>
      <c r="I86" s="6" t="s">
        <v>1159</v>
      </c>
      <c r="J86" s="8" t="s">
        <v>26</v>
      </c>
      <c r="K86" s="8" t="s">
        <v>1287</v>
      </c>
      <c r="L86" s="11"/>
      <c r="M86" s="6"/>
      <c r="N86" s="6"/>
    </row>
    <row r="87" spans="1:14" ht="26" x14ac:dyDescent="0.35">
      <c r="A87" s="9"/>
      <c r="B87" s="13" t="s">
        <v>600</v>
      </c>
      <c r="C87" s="19"/>
      <c r="D87" s="19" t="s">
        <v>232</v>
      </c>
      <c r="E87" s="8" t="s">
        <v>1164</v>
      </c>
      <c r="F87" s="19" t="s">
        <v>233</v>
      </c>
      <c r="G87" s="6" t="s">
        <v>1158</v>
      </c>
      <c r="H87" s="19"/>
      <c r="I87" s="6" t="s">
        <v>1159</v>
      </c>
      <c r="J87" s="8" t="s">
        <v>26</v>
      </c>
      <c r="K87" s="6" t="s">
        <v>1288</v>
      </c>
    </row>
    <row r="88" spans="1:14" s="9" customFormat="1" ht="39" x14ac:dyDescent="0.35">
      <c r="B88" s="13" t="s">
        <v>600</v>
      </c>
      <c r="C88" s="17"/>
      <c r="D88" s="17" t="s">
        <v>237</v>
      </c>
      <c r="E88" s="8" t="s">
        <v>1164</v>
      </c>
      <c r="F88" s="17" t="s">
        <v>238</v>
      </c>
      <c r="G88" s="8" t="s">
        <v>1158</v>
      </c>
      <c r="H88" s="17"/>
      <c r="I88" s="6" t="s">
        <v>1159</v>
      </c>
      <c r="J88" s="8" t="s">
        <v>26</v>
      </c>
      <c r="K88" s="8" t="s">
        <v>1289</v>
      </c>
      <c r="L88" s="11"/>
      <c r="M88" s="6"/>
      <c r="N88" s="6"/>
    </row>
    <row r="89" spans="1:14" s="9" customFormat="1" ht="39" x14ac:dyDescent="0.35">
      <c r="B89" s="13" t="s">
        <v>600</v>
      </c>
      <c r="C89" s="17"/>
      <c r="D89" s="17" t="s">
        <v>240</v>
      </c>
      <c r="E89" s="8" t="s">
        <v>1164</v>
      </c>
      <c r="F89" s="17" t="s">
        <v>241</v>
      </c>
      <c r="G89" s="8" t="s">
        <v>1158</v>
      </c>
      <c r="H89" s="17"/>
      <c r="I89" s="6" t="s">
        <v>1159</v>
      </c>
      <c r="J89" s="8" t="s">
        <v>26</v>
      </c>
      <c r="K89" s="8" t="s">
        <v>1290</v>
      </c>
      <c r="L89" s="11"/>
      <c r="M89" s="6"/>
      <c r="N89" s="6"/>
    </row>
    <row r="90" spans="1:14" s="9" customFormat="1" ht="26" x14ac:dyDescent="0.35">
      <c r="A90" s="6"/>
      <c r="B90" s="7" t="s">
        <v>614</v>
      </c>
      <c r="C90" s="62"/>
      <c r="D90" s="8" t="s">
        <v>1171</v>
      </c>
      <c r="E90" s="8" t="s">
        <v>1164</v>
      </c>
      <c r="F90" s="8"/>
      <c r="G90" s="8" t="s">
        <v>1164</v>
      </c>
      <c r="H90" s="8" t="s">
        <v>359</v>
      </c>
      <c r="I90" s="8" t="s">
        <v>26</v>
      </c>
      <c r="J90" s="8" t="s">
        <v>26</v>
      </c>
      <c r="K90" s="8" t="s">
        <v>1291</v>
      </c>
      <c r="L90" s="11"/>
      <c r="M90" s="6"/>
      <c r="N90" s="6"/>
    </row>
    <row r="91" spans="1:14" s="9" customFormat="1" ht="39" x14ac:dyDescent="0.35">
      <c r="B91" s="7" t="s">
        <v>614</v>
      </c>
      <c r="C91" s="10"/>
      <c r="D91" s="8" t="s">
        <v>217</v>
      </c>
      <c r="E91" s="8" t="s">
        <v>1164</v>
      </c>
      <c r="F91" s="8" t="s">
        <v>218</v>
      </c>
      <c r="G91" s="8" t="s">
        <v>1158</v>
      </c>
      <c r="H91" s="8"/>
      <c r="I91" s="8" t="s">
        <v>219</v>
      </c>
      <c r="J91" s="8" t="s">
        <v>26</v>
      </c>
      <c r="K91" s="8" t="s">
        <v>1292</v>
      </c>
      <c r="L91" s="11"/>
      <c r="M91" s="6"/>
      <c r="N91" s="6"/>
    </row>
    <row r="92" spans="1:14" s="9" customFormat="1" ht="104" x14ac:dyDescent="0.35">
      <c r="B92" s="7" t="s">
        <v>614</v>
      </c>
      <c r="C92" s="10"/>
      <c r="D92" s="8" t="s">
        <v>221</v>
      </c>
      <c r="E92" s="8" t="s">
        <v>1164</v>
      </c>
      <c r="F92" s="8" t="s">
        <v>222</v>
      </c>
      <c r="G92" s="8" t="s">
        <v>1158</v>
      </c>
      <c r="H92" s="8"/>
      <c r="I92" s="8" t="s">
        <v>223</v>
      </c>
      <c r="J92" s="8" t="s">
        <v>26</v>
      </c>
      <c r="K92" s="8" t="s">
        <v>1293</v>
      </c>
      <c r="L92" s="11"/>
      <c r="M92" s="6"/>
      <c r="N92" s="6"/>
    </row>
    <row r="93" spans="1:14" s="9" customFormat="1" ht="52" x14ac:dyDescent="0.35">
      <c r="B93" s="7" t="s">
        <v>614</v>
      </c>
      <c r="C93" s="10"/>
      <c r="D93" s="8" t="s">
        <v>225</v>
      </c>
      <c r="E93" s="8" t="s">
        <v>1164</v>
      </c>
      <c r="F93" s="10" t="s">
        <v>226</v>
      </c>
      <c r="G93" s="8" t="s">
        <v>1158</v>
      </c>
      <c r="H93" s="10"/>
      <c r="I93" s="8" t="s">
        <v>219</v>
      </c>
      <c r="J93" s="8" t="s">
        <v>26</v>
      </c>
      <c r="K93" s="8" t="s">
        <v>1294</v>
      </c>
      <c r="L93" s="11"/>
      <c r="M93" s="6"/>
      <c r="N93" s="6"/>
    </row>
    <row r="94" spans="1:14" s="9" customFormat="1" ht="26" x14ac:dyDescent="0.35">
      <c r="A94" s="6"/>
      <c r="B94" s="13" t="s">
        <v>250</v>
      </c>
      <c r="C94" s="62"/>
      <c r="D94" s="8" t="s">
        <v>1171</v>
      </c>
      <c r="E94" s="8" t="s">
        <v>1164</v>
      </c>
      <c r="F94" s="8"/>
      <c r="G94" s="8" t="s">
        <v>1164</v>
      </c>
      <c r="H94" s="8" t="s">
        <v>359</v>
      </c>
      <c r="I94" s="8" t="s">
        <v>26</v>
      </c>
      <c r="J94" s="8" t="s">
        <v>26</v>
      </c>
      <c r="K94" s="8" t="s">
        <v>1295</v>
      </c>
      <c r="L94" s="11"/>
      <c r="M94" s="6"/>
      <c r="N94" s="6"/>
    </row>
    <row r="95" spans="1:14" s="9" customFormat="1" ht="39" x14ac:dyDescent="0.35">
      <c r="B95" s="13" t="s">
        <v>250</v>
      </c>
      <c r="C95" s="8"/>
      <c r="D95" s="8" t="s">
        <v>251</v>
      </c>
      <c r="E95" s="8" t="s">
        <v>1164</v>
      </c>
      <c r="F95" s="8" t="s">
        <v>252</v>
      </c>
      <c r="G95" s="8" t="s">
        <v>1158</v>
      </c>
      <c r="H95" s="8"/>
      <c r="I95" s="6" t="s">
        <v>1159</v>
      </c>
      <c r="J95" s="8" t="s">
        <v>26</v>
      </c>
      <c r="K95" s="8" t="s">
        <v>1296</v>
      </c>
      <c r="L95" s="11"/>
      <c r="M95" s="6"/>
      <c r="N95" s="6"/>
    </row>
    <row r="96" spans="1:14" s="9" customFormat="1" ht="39" x14ac:dyDescent="0.35">
      <c r="B96" s="13" t="s">
        <v>250</v>
      </c>
      <c r="C96" s="8"/>
      <c r="D96" s="8" t="s">
        <v>254</v>
      </c>
      <c r="E96" s="8" t="s">
        <v>1164</v>
      </c>
      <c r="F96" s="8" t="s">
        <v>255</v>
      </c>
      <c r="G96" s="8" t="s">
        <v>1158</v>
      </c>
      <c r="H96" s="8"/>
      <c r="I96" s="6" t="s">
        <v>1159</v>
      </c>
      <c r="J96" s="8" t="s">
        <v>26</v>
      </c>
      <c r="K96" s="8" t="s">
        <v>1297</v>
      </c>
      <c r="L96" s="11"/>
      <c r="M96" s="6"/>
      <c r="N96" s="6"/>
    </row>
    <row r="97" spans="1:14" s="9" customFormat="1" ht="26" x14ac:dyDescent="0.35">
      <c r="A97" s="6"/>
      <c r="B97" s="13" t="s">
        <v>243</v>
      </c>
      <c r="C97" s="62"/>
      <c r="D97" s="8" t="s">
        <v>1171</v>
      </c>
      <c r="E97" s="8" t="s">
        <v>1164</v>
      </c>
      <c r="F97" s="8"/>
      <c r="G97" s="8" t="s">
        <v>1164</v>
      </c>
      <c r="H97" s="8" t="s">
        <v>359</v>
      </c>
      <c r="I97" s="8" t="s">
        <v>26</v>
      </c>
      <c r="J97" s="8" t="s">
        <v>26</v>
      </c>
      <c r="K97" s="8" t="s">
        <v>1298</v>
      </c>
      <c r="L97" s="11"/>
      <c r="M97" s="6"/>
      <c r="N97" s="6"/>
    </row>
    <row r="98" spans="1:14" s="9" customFormat="1" ht="39" x14ac:dyDescent="0.35">
      <c r="B98" s="13" t="s">
        <v>243</v>
      </c>
      <c r="C98" s="8"/>
      <c r="D98" s="8" t="s">
        <v>244</v>
      </c>
      <c r="E98" s="8" t="s">
        <v>1164</v>
      </c>
      <c r="F98" s="8" t="s">
        <v>245</v>
      </c>
      <c r="G98" s="8" t="s">
        <v>1158</v>
      </c>
      <c r="H98" s="8"/>
      <c r="I98" s="6" t="s">
        <v>1159</v>
      </c>
      <c r="J98" s="8" t="s">
        <v>26</v>
      </c>
      <c r="K98" s="8" t="s">
        <v>1299</v>
      </c>
      <c r="L98" s="11"/>
      <c r="M98" s="6"/>
      <c r="N98" s="6"/>
    </row>
    <row r="99" spans="1:14" s="9" customFormat="1" ht="39" x14ac:dyDescent="0.35">
      <c r="B99" s="13" t="s">
        <v>243</v>
      </c>
      <c r="C99" s="8"/>
      <c r="D99" s="8" t="s">
        <v>1300</v>
      </c>
      <c r="E99" s="8" t="s">
        <v>1164</v>
      </c>
      <c r="F99" s="8" t="s">
        <v>248</v>
      </c>
      <c r="G99" s="8" t="s">
        <v>1158</v>
      </c>
      <c r="H99" s="8"/>
      <c r="I99" s="6" t="s">
        <v>1159</v>
      </c>
      <c r="J99" s="8" t="s">
        <v>26</v>
      </c>
      <c r="K99" s="8" t="s">
        <v>1301</v>
      </c>
      <c r="L99" s="11"/>
      <c r="M99" s="6"/>
      <c r="N99" s="6"/>
    </row>
    <row r="100" spans="1:14" s="9" customFormat="1" ht="26" x14ac:dyDescent="0.35">
      <c r="A100" s="6"/>
      <c r="B100" s="63" t="s">
        <v>257</v>
      </c>
      <c r="C100" s="64"/>
      <c r="D100" s="65" t="s">
        <v>1171</v>
      </c>
      <c r="E100" s="8" t="s">
        <v>1164</v>
      </c>
      <c r="F100" s="65"/>
      <c r="G100" s="8" t="s">
        <v>1164</v>
      </c>
      <c r="H100" s="65" t="s">
        <v>359</v>
      </c>
      <c r="I100" s="65" t="s">
        <v>26</v>
      </c>
      <c r="J100" s="65" t="s">
        <v>26</v>
      </c>
      <c r="K100" s="65" t="s">
        <v>1302</v>
      </c>
      <c r="L100" s="66"/>
      <c r="M100" s="6"/>
      <c r="N100" s="6"/>
    </row>
    <row r="101" spans="1:14" ht="78" x14ac:dyDescent="0.35">
      <c r="A101" s="9"/>
      <c r="B101" s="7" t="s">
        <v>257</v>
      </c>
      <c r="C101" s="10"/>
      <c r="D101" s="8" t="s">
        <v>258</v>
      </c>
      <c r="E101" s="8" t="s">
        <v>1164</v>
      </c>
      <c r="F101" s="29" t="s">
        <v>259</v>
      </c>
      <c r="G101" s="6" t="s">
        <v>1158</v>
      </c>
      <c r="H101" s="29"/>
      <c r="I101" s="8" t="s">
        <v>260</v>
      </c>
      <c r="J101" s="65" t="s">
        <v>26</v>
      </c>
      <c r="K101" s="8" t="s">
        <v>1303</v>
      </c>
      <c r="L101" s="11"/>
    </row>
    <row r="102" spans="1:14" ht="106.9" customHeight="1" x14ac:dyDescent="0.35">
      <c r="A102" s="9"/>
      <c r="B102" s="7" t="s">
        <v>257</v>
      </c>
      <c r="C102" s="10"/>
      <c r="D102" s="8" t="s">
        <v>262</v>
      </c>
      <c r="E102" s="8" t="s">
        <v>1164</v>
      </c>
      <c r="F102" s="29" t="s">
        <v>263</v>
      </c>
      <c r="G102" s="6" t="s">
        <v>1158</v>
      </c>
      <c r="H102" s="29"/>
      <c r="I102" s="8" t="s">
        <v>260</v>
      </c>
      <c r="J102" s="65" t="s">
        <v>26</v>
      </c>
      <c r="K102" s="8" t="s">
        <v>1304</v>
      </c>
      <c r="L102" s="11"/>
    </row>
    <row r="103" spans="1:14" ht="106.9" customHeight="1" x14ac:dyDescent="0.35">
      <c r="A103" s="9"/>
      <c r="B103" s="7" t="s">
        <v>257</v>
      </c>
      <c r="C103" s="10"/>
      <c r="D103" s="8" t="s">
        <v>265</v>
      </c>
      <c r="E103" s="8" t="s">
        <v>1164</v>
      </c>
      <c r="F103" s="6" t="s">
        <v>266</v>
      </c>
      <c r="G103" s="6" t="s">
        <v>1158</v>
      </c>
      <c r="H103" s="6"/>
      <c r="I103" s="8" t="s">
        <v>260</v>
      </c>
      <c r="J103" s="65" t="s">
        <v>26</v>
      </c>
      <c r="K103" s="8" t="s">
        <v>1305</v>
      </c>
      <c r="L103" s="11"/>
    </row>
    <row r="104" spans="1:14" ht="106.9" customHeight="1" x14ac:dyDescent="0.35">
      <c r="A104" s="9"/>
      <c r="B104" s="7" t="s">
        <v>257</v>
      </c>
      <c r="C104" s="10"/>
      <c r="D104" s="8" t="s">
        <v>268</v>
      </c>
      <c r="E104" s="8" t="s">
        <v>1164</v>
      </c>
      <c r="F104" s="6" t="s">
        <v>269</v>
      </c>
      <c r="G104" s="6" t="s">
        <v>1158</v>
      </c>
      <c r="H104" s="6"/>
      <c r="I104" s="8" t="s">
        <v>260</v>
      </c>
      <c r="J104" s="65" t="s">
        <v>26</v>
      </c>
      <c r="K104" s="8" t="s">
        <v>1306</v>
      </c>
      <c r="L104" s="11"/>
    </row>
    <row r="105" spans="1:14" ht="106.9" customHeight="1" x14ac:dyDescent="0.35">
      <c r="A105" s="9"/>
      <c r="B105" s="7" t="s">
        <v>257</v>
      </c>
      <c r="C105" s="10"/>
      <c r="D105" s="8" t="s">
        <v>271</v>
      </c>
      <c r="E105" s="8" t="s">
        <v>1164</v>
      </c>
      <c r="F105" s="29" t="s">
        <v>272</v>
      </c>
      <c r="G105" s="6" t="s">
        <v>1158</v>
      </c>
      <c r="H105" s="29"/>
      <c r="I105" s="8" t="s">
        <v>260</v>
      </c>
      <c r="J105" s="65" t="s">
        <v>26</v>
      </c>
      <c r="K105" s="8" t="s">
        <v>1307</v>
      </c>
      <c r="L105" s="11"/>
    </row>
    <row r="106" spans="1:14" ht="106.9" customHeight="1" x14ac:dyDescent="0.35">
      <c r="A106" s="9"/>
      <c r="B106" s="7" t="s">
        <v>257</v>
      </c>
      <c r="C106" s="10"/>
      <c r="D106" s="8" t="s">
        <v>274</v>
      </c>
      <c r="E106" s="8" t="s">
        <v>1164</v>
      </c>
      <c r="F106" s="29" t="s">
        <v>275</v>
      </c>
      <c r="G106" s="6" t="s">
        <v>1158</v>
      </c>
      <c r="H106" s="29"/>
      <c r="I106" s="8" t="s">
        <v>260</v>
      </c>
      <c r="J106" s="65" t="s">
        <v>26</v>
      </c>
      <c r="K106" s="8" t="s">
        <v>1308</v>
      </c>
      <c r="L106" s="11"/>
    </row>
    <row r="107" spans="1:14" ht="106.9" customHeight="1" x14ac:dyDescent="0.35">
      <c r="A107" s="9"/>
      <c r="B107" s="7" t="s">
        <v>257</v>
      </c>
      <c r="C107" s="10"/>
      <c r="D107" s="8" t="s">
        <v>277</v>
      </c>
      <c r="E107" s="8" t="s">
        <v>1164</v>
      </c>
      <c r="F107" s="30" t="s">
        <v>278</v>
      </c>
      <c r="G107" s="6" t="s">
        <v>1158</v>
      </c>
      <c r="H107" s="30"/>
      <c r="I107" s="8" t="s">
        <v>260</v>
      </c>
      <c r="J107" s="65" t="s">
        <v>26</v>
      </c>
      <c r="K107" s="8" t="s">
        <v>1309</v>
      </c>
      <c r="L107" s="11"/>
    </row>
    <row r="108" spans="1:14" ht="106.9" customHeight="1" x14ac:dyDescent="0.35">
      <c r="A108" s="9"/>
      <c r="B108" s="7" t="s">
        <v>257</v>
      </c>
      <c r="C108" s="10"/>
      <c r="D108" s="8" t="s">
        <v>280</v>
      </c>
      <c r="E108" s="8" t="s">
        <v>1164</v>
      </c>
      <c r="F108" s="30" t="s">
        <v>281</v>
      </c>
      <c r="G108" s="6" t="s">
        <v>1158</v>
      </c>
      <c r="H108" s="30"/>
      <c r="I108" s="8" t="s">
        <v>260</v>
      </c>
      <c r="J108" s="65" t="s">
        <v>26</v>
      </c>
      <c r="K108" s="8" t="s">
        <v>1310</v>
      </c>
      <c r="L108" s="11"/>
    </row>
    <row r="109" spans="1:14" ht="106.9" customHeight="1" x14ac:dyDescent="0.35">
      <c r="A109" s="9"/>
      <c r="B109" s="7" t="s">
        <v>257</v>
      </c>
      <c r="C109" s="10"/>
      <c r="D109" s="8" t="s">
        <v>283</v>
      </c>
      <c r="E109" s="8" t="s">
        <v>1164</v>
      </c>
      <c r="F109" s="29" t="s">
        <v>284</v>
      </c>
      <c r="G109" s="6" t="s">
        <v>1158</v>
      </c>
      <c r="H109" s="29"/>
      <c r="I109" s="8" t="s">
        <v>260</v>
      </c>
      <c r="J109" s="65" t="s">
        <v>26</v>
      </c>
      <c r="K109" s="8" t="s">
        <v>1311</v>
      </c>
      <c r="L109" s="11"/>
    </row>
    <row r="110" spans="1:14" ht="106.9" customHeight="1" x14ac:dyDescent="0.35">
      <c r="A110" s="9"/>
      <c r="B110" s="7" t="s">
        <v>257</v>
      </c>
      <c r="C110" s="10"/>
      <c r="D110" s="8" t="s">
        <v>286</v>
      </c>
      <c r="E110" s="8" t="s">
        <v>1164</v>
      </c>
      <c r="F110" s="29" t="s">
        <v>287</v>
      </c>
      <c r="G110" s="6" t="s">
        <v>1158</v>
      </c>
      <c r="H110" s="29"/>
      <c r="I110" s="8" t="s">
        <v>260</v>
      </c>
      <c r="J110" s="65" t="s">
        <v>26</v>
      </c>
      <c r="K110" s="8" t="s">
        <v>1312</v>
      </c>
      <c r="L110" s="11"/>
    </row>
    <row r="111" spans="1:14" ht="106.9" customHeight="1" x14ac:dyDescent="0.35">
      <c r="A111" s="9"/>
      <c r="B111" s="7" t="s">
        <v>257</v>
      </c>
      <c r="C111" s="10"/>
      <c r="D111" s="8" t="s">
        <v>289</v>
      </c>
      <c r="E111" s="8" t="s">
        <v>1164</v>
      </c>
      <c r="F111" s="6" t="s">
        <v>290</v>
      </c>
      <c r="G111" s="6" t="s">
        <v>1158</v>
      </c>
      <c r="H111" s="6"/>
      <c r="I111" s="8" t="s">
        <v>7</v>
      </c>
      <c r="J111" s="65" t="s">
        <v>26</v>
      </c>
      <c r="K111" s="8" t="s">
        <v>1313</v>
      </c>
      <c r="L111" s="11"/>
    </row>
    <row r="112" spans="1:14" ht="106.9" customHeight="1" x14ac:dyDescent="0.35">
      <c r="A112" s="9"/>
      <c r="B112" s="7" t="s">
        <v>257</v>
      </c>
      <c r="C112" s="10"/>
      <c r="D112" s="8" t="s">
        <v>292</v>
      </c>
      <c r="E112" s="8" t="s">
        <v>1164</v>
      </c>
      <c r="F112" s="30" t="s">
        <v>278</v>
      </c>
      <c r="G112" s="6" t="s">
        <v>1158</v>
      </c>
      <c r="H112" s="30"/>
      <c r="I112" s="8" t="s">
        <v>7</v>
      </c>
      <c r="J112" s="65" t="s">
        <v>26</v>
      </c>
      <c r="K112" s="8" t="s">
        <v>1314</v>
      </c>
      <c r="L112" s="11"/>
    </row>
    <row r="113" spans="1:14" ht="106.9" customHeight="1" x14ac:dyDescent="0.35">
      <c r="A113" s="9"/>
      <c r="B113" s="7" t="s">
        <v>257</v>
      </c>
      <c r="C113" s="10"/>
      <c r="D113" s="8" t="s">
        <v>294</v>
      </c>
      <c r="E113" s="8" t="s">
        <v>1164</v>
      </c>
      <c r="F113" s="6" t="s">
        <v>295</v>
      </c>
      <c r="G113" s="6" t="s">
        <v>1158</v>
      </c>
      <c r="H113" s="6"/>
      <c r="I113" s="8" t="s">
        <v>7</v>
      </c>
      <c r="J113" s="65" t="s">
        <v>26</v>
      </c>
      <c r="K113" s="8" t="s">
        <v>1315</v>
      </c>
      <c r="L113" s="11"/>
    </row>
    <row r="114" spans="1:14" customFormat="1" ht="91" x14ac:dyDescent="0.35">
      <c r="A114" s="6"/>
      <c r="B114" s="7" t="s">
        <v>1316</v>
      </c>
      <c r="C114" s="10"/>
      <c r="D114" s="8" t="s">
        <v>379</v>
      </c>
      <c r="E114" s="8" t="s">
        <v>1158</v>
      </c>
      <c r="F114" s="6" t="s">
        <v>1317</v>
      </c>
      <c r="G114" s="60" t="s">
        <v>1158</v>
      </c>
      <c r="H114" s="6" t="s">
        <v>350</v>
      </c>
      <c r="I114" s="8"/>
      <c r="J114" s="8" t="s">
        <v>1318</v>
      </c>
      <c r="K114" s="8" t="s">
        <v>1319</v>
      </c>
      <c r="L114" s="11"/>
      <c r="M114" s="8"/>
      <c r="N114" s="8"/>
    </row>
  </sheetData>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084D-E3A6-4E05-A707-883A39FB0B64}">
  <dimension ref="A1:Q124"/>
  <sheetViews>
    <sheetView zoomScale="81" zoomScaleNormal="81" workbookViewId="0">
      <pane xSplit="4" ySplit="1" topLeftCell="E2" activePane="bottomRight" state="frozen"/>
      <selection pane="topRight" activeCell="E1" sqref="E1"/>
      <selection pane="bottomLeft" activeCell="A2" sqref="A2"/>
      <selection pane="bottomRight" activeCell="I8" sqref="I8"/>
    </sheetView>
  </sheetViews>
  <sheetFormatPr defaultRowHeight="14.5" x14ac:dyDescent="0.35"/>
  <cols>
    <col min="2" max="2" width="14.26953125" customWidth="1"/>
    <col min="3" max="3" width="12.7265625" customWidth="1"/>
    <col min="4" max="4" width="11.1796875" customWidth="1"/>
    <col min="5" max="5" width="15.81640625" customWidth="1"/>
    <col min="6" max="6" width="44.7265625" customWidth="1"/>
    <col min="7" max="7" width="27" customWidth="1"/>
    <col min="8" max="8" width="14.7265625" customWidth="1"/>
    <col min="9" max="9" width="29.1796875" customWidth="1"/>
    <col min="10" max="10" width="58.26953125" customWidth="1"/>
    <col min="11" max="11" width="27.26953125" customWidth="1"/>
    <col min="12" max="12" width="18.7265625" customWidth="1"/>
    <col min="13" max="13" width="37.54296875" customWidth="1"/>
    <col min="14" max="14" width="17.453125" customWidth="1"/>
  </cols>
  <sheetData>
    <row r="1" spans="1:14" x14ac:dyDescent="0.35">
      <c r="A1" s="68" t="s">
        <v>0</v>
      </c>
      <c r="B1" s="68" t="s">
        <v>337</v>
      </c>
      <c r="C1" s="68" t="s">
        <v>338</v>
      </c>
      <c r="D1" s="68" t="s">
        <v>339</v>
      </c>
      <c r="E1" s="68" t="s">
        <v>1154</v>
      </c>
      <c r="F1" s="68" t="s">
        <v>1155</v>
      </c>
      <c r="G1" s="68" t="s">
        <v>1156</v>
      </c>
      <c r="H1" s="69" t="s">
        <v>1085</v>
      </c>
      <c r="I1" s="69" t="s">
        <v>1157</v>
      </c>
      <c r="J1" s="89" t="s">
        <v>1086</v>
      </c>
      <c r="K1" s="89" t="s">
        <v>676</v>
      </c>
      <c r="L1" s="68" t="s">
        <v>345</v>
      </c>
      <c r="M1" s="70" t="s">
        <v>346</v>
      </c>
      <c r="N1" s="71" t="s">
        <v>347</v>
      </c>
    </row>
    <row r="2" spans="1:14" ht="65.5" x14ac:dyDescent="0.35">
      <c r="A2" s="72"/>
      <c r="B2" s="73" t="s">
        <v>348</v>
      </c>
      <c r="C2" s="74"/>
      <c r="D2" s="72" t="s">
        <v>349</v>
      </c>
      <c r="E2" s="72" t="s">
        <v>1158</v>
      </c>
      <c r="F2" s="72" t="s">
        <v>1320</v>
      </c>
      <c r="G2" s="75" t="s">
        <v>1158</v>
      </c>
      <c r="H2" s="72" t="s">
        <v>350</v>
      </c>
      <c r="I2" s="72" t="s">
        <v>1159</v>
      </c>
      <c r="J2" s="72" t="s">
        <v>1321</v>
      </c>
      <c r="K2" s="72" t="s">
        <v>1322</v>
      </c>
      <c r="L2" s="72"/>
      <c r="M2" s="72"/>
      <c r="N2" s="72"/>
    </row>
    <row r="3" spans="1:14" ht="39" x14ac:dyDescent="0.35">
      <c r="A3" s="6"/>
      <c r="B3" s="29" t="s">
        <v>348</v>
      </c>
      <c r="C3" s="57"/>
      <c r="D3" s="6" t="s">
        <v>28</v>
      </c>
      <c r="E3" s="6" t="s">
        <v>1158</v>
      </c>
      <c r="F3" s="6" t="s">
        <v>29</v>
      </c>
      <c r="G3" s="6" t="s">
        <v>1158</v>
      </c>
      <c r="H3" s="6" t="s">
        <v>350</v>
      </c>
      <c r="I3" s="6" t="s">
        <v>1159</v>
      </c>
      <c r="J3" s="6" t="s">
        <v>1160</v>
      </c>
      <c r="K3" s="6" t="s">
        <v>1323</v>
      </c>
      <c r="L3" s="6"/>
      <c r="M3" s="6"/>
      <c r="N3" s="6"/>
    </row>
    <row r="4" spans="1:14" ht="26" x14ac:dyDescent="0.35">
      <c r="A4" s="6"/>
      <c r="B4" s="29" t="s">
        <v>348</v>
      </c>
      <c r="C4" s="57"/>
      <c r="D4" s="6" t="s">
        <v>356</v>
      </c>
      <c r="E4" s="6" t="s">
        <v>1158</v>
      </c>
      <c r="F4" s="6" t="s">
        <v>1324</v>
      </c>
      <c r="G4" s="6" t="s">
        <v>1158</v>
      </c>
      <c r="H4" s="6" t="s">
        <v>1090</v>
      </c>
      <c r="I4" s="6" t="s">
        <v>1159</v>
      </c>
      <c r="J4" s="58" t="s">
        <v>1162</v>
      </c>
      <c r="K4" s="6" t="s">
        <v>1163</v>
      </c>
      <c r="L4" s="6"/>
      <c r="M4" s="6"/>
      <c r="N4" s="6"/>
    </row>
    <row r="5" spans="1:14" ht="39" hidden="1" x14ac:dyDescent="0.35">
      <c r="A5" s="6"/>
      <c r="B5" s="29" t="s">
        <v>348</v>
      </c>
      <c r="C5" s="29"/>
      <c r="D5" s="6" t="s">
        <v>358</v>
      </c>
      <c r="E5" s="6" t="s">
        <v>1164</v>
      </c>
      <c r="F5" s="6" t="s">
        <v>1325</v>
      </c>
      <c r="G5" s="6" t="s">
        <v>1164</v>
      </c>
      <c r="H5" s="6" t="s">
        <v>359</v>
      </c>
      <c r="I5" s="6" t="s">
        <v>26</v>
      </c>
      <c r="J5" s="6" t="s">
        <v>26</v>
      </c>
      <c r="K5" s="58" t="s">
        <v>360</v>
      </c>
      <c r="L5" s="6"/>
      <c r="M5" s="6"/>
      <c r="N5" s="6"/>
    </row>
    <row r="6" spans="1:14" ht="39" hidden="1" x14ac:dyDescent="0.35">
      <c r="A6" s="6"/>
      <c r="B6" s="29" t="s">
        <v>348</v>
      </c>
      <c r="C6" s="57"/>
      <c r="D6" s="6" t="s">
        <v>361</v>
      </c>
      <c r="E6" s="6" t="s">
        <v>1164</v>
      </c>
      <c r="F6" s="6" t="s">
        <v>1326</v>
      </c>
      <c r="G6" s="60" t="s">
        <v>1164</v>
      </c>
      <c r="H6" s="6" t="s">
        <v>359</v>
      </c>
      <c r="I6" s="6" t="s">
        <v>26</v>
      </c>
      <c r="J6" s="6" t="s">
        <v>26</v>
      </c>
      <c r="K6" s="58" t="s">
        <v>362</v>
      </c>
      <c r="L6" s="6"/>
      <c r="M6" s="6"/>
      <c r="N6" s="6"/>
    </row>
    <row r="7" spans="1:14" ht="39" hidden="1" x14ac:dyDescent="0.35">
      <c r="A7" s="6"/>
      <c r="B7" s="29" t="s">
        <v>348</v>
      </c>
      <c r="C7" s="57"/>
      <c r="D7" s="6" t="s">
        <v>363</v>
      </c>
      <c r="E7" s="6" t="s">
        <v>1164</v>
      </c>
      <c r="F7" s="6" t="s">
        <v>1327</v>
      </c>
      <c r="G7" s="60" t="s">
        <v>1164</v>
      </c>
      <c r="H7" s="6" t="s">
        <v>359</v>
      </c>
      <c r="I7" s="6" t="s">
        <v>26</v>
      </c>
      <c r="J7" s="6" t="s">
        <v>26</v>
      </c>
      <c r="K7" s="58" t="s">
        <v>364</v>
      </c>
      <c r="L7" s="6"/>
      <c r="M7" s="6"/>
      <c r="N7" s="6"/>
    </row>
    <row r="8" spans="1:14" ht="39" x14ac:dyDescent="0.35">
      <c r="A8" s="6"/>
      <c r="B8" s="29" t="s">
        <v>348</v>
      </c>
      <c r="C8" s="57"/>
      <c r="D8" s="6" t="s">
        <v>365</v>
      </c>
      <c r="E8" s="6" t="s">
        <v>1158</v>
      </c>
      <c r="F8" s="6" t="s">
        <v>1328</v>
      </c>
      <c r="G8" s="6" t="s">
        <v>1158</v>
      </c>
      <c r="H8" s="6" t="s">
        <v>1107</v>
      </c>
      <c r="I8" s="6" t="s">
        <v>1329</v>
      </c>
      <c r="J8" s="6" t="s">
        <v>1165</v>
      </c>
      <c r="K8" s="6" t="s">
        <v>1330</v>
      </c>
      <c r="L8" s="6"/>
      <c r="M8" s="6"/>
      <c r="N8" s="6"/>
    </row>
    <row r="9" spans="1:14" ht="52" hidden="1" x14ac:dyDescent="0.35">
      <c r="A9" s="6"/>
      <c r="B9" s="29" t="s">
        <v>348</v>
      </c>
      <c r="C9" s="57"/>
      <c r="D9" s="6" t="s">
        <v>367</v>
      </c>
      <c r="E9" s="6" t="s">
        <v>1164</v>
      </c>
      <c r="F9" s="6" t="s">
        <v>1331</v>
      </c>
      <c r="G9" s="60" t="s">
        <v>1164</v>
      </c>
      <c r="H9" s="6" t="s">
        <v>368</v>
      </c>
      <c r="I9" s="6" t="s">
        <v>26</v>
      </c>
      <c r="J9" s="6" t="s">
        <v>26</v>
      </c>
      <c r="K9" s="6" t="s">
        <v>1167</v>
      </c>
      <c r="L9" s="6"/>
      <c r="M9" s="6"/>
      <c r="N9" s="6"/>
    </row>
    <row r="10" spans="1:14" ht="130" x14ac:dyDescent="0.35">
      <c r="A10" s="6"/>
      <c r="B10" s="29" t="s">
        <v>370</v>
      </c>
      <c r="C10" s="57"/>
      <c r="D10" s="6" t="s">
        <v>370</v>
      </c>
      <c r="E10" s="6" t="s">
        <v>1158</v>
      </c>
      <c r="F10" s="6" t="s">
        <v>1168</v>
      </c>
      <c r="G10" s="6" t="s">
        <v>1158</v>
      </c>
      <c r="H10" s="6" t="s">
        <v>350</v>
      </c>
      <c r="I10" s="6" t="s">
        <v>1159</v>
      </c>
      <c r="J10" s="6" t="s">
        <v>1169</v>
      </c>
      <c r="K10" s="6" t="s">
        <v>1170</v>
      </c>
      <c r="L10" s="6"/>
      <c r="M10" s="6"/>
      <c r="N10" s="6"/>
    </row>
    <row r="11" spans="1:14" s="6" customFormat="1" ht="39" hidden="1" x14ac:dyDescent="0.35">
      <c r="B11" s="29" t="s">
        <v>19</v>
      </c>
      <c r="C11" s="57"/>
      <c r="D11" s="6" t="s">
        <v>1332</v>
      </c>
      <c r="E11" s="6" t="s">
        <v>1164</v>
      </c>
      <c r="F11" s="6" t="s">
        <v>1333</v>
      </c>
      <c r="G11" s="60" t="s">
        <v>1164</v>
      </c>
      <c r="H11" s="6" t="s">
        <v>359</v>
      </c>
      <c r="I11" s="6" t="s">
        <v>26</v>
      </c>
      <c r="K11" s="6" t="s">
        <v>1172</v>
      </c>
      <c r="M11" s="6" t="s">
        <v>1334</v>
      </c>
    </row>
    <row r="12" spans="1:14" s="9" customFormat="1" ht="26" hidden="1" x14ac:dyDescent="0.35">
      <c r="A12" s="6"/>
      <c r="B12" s="29" t="s">
        <v>19</v>
      </c>
      <c r="C12" s="57"/>
      <c r="D12" s="6" t="s">
        <v>20</v>
      </c>
      <c r="E12" s="6" t="s">
        <v>1164</v>
      </c>
      <c r="F12" s="6" t="s">
        <v>22</v>
      </c>
      <c r="G12" s="60" t="s">
        <v>1158</v>
      </c>
      <c r="H12" s="6" t="s">
        <v>1107</v>
      </c>
      <c r="I12" s="6" t="s">
        <v>23</v>
      </c>
      <c r="J12" s="6" t="s">
        <v>26</v>
      </c>
      <c r="K12" s="6" t="s">
        <v>1173</v>
      </c>
      <c r="L12" s="6"/>
      <c r="M12" s="6" t="s">
        <v>1334</v>
      </c>
      <c r="N12" s="6"/>
    </row>
    <row r="13" spans="1:14" s="9" customFormat="1" ht="28.15" hidden="1" customHeight="1" x14ac:dyDescent="0.35">
      <c r="A13" s="6"/>
      <c r="B13" s="29" t="s">
        <v>19</v>
      </c>
      <c r="C13" s="57"/>
      <c r="D13" s="6" t="s">
        <v>1034</v>
      </c>
      <c r="E13" s="6" t="s">
        <v>1164</v>
      </c>
      <c r="F13" s="6" t="s">
        <v>29</v>
      </c>
      <c r="G13" s="60" t="s">
        <v>1158</v>
      </c>
      <c r="H13" s="6" t="s">
        <v>1107</v>
      </c>
      <c r="I13" s="6" t="s">
        <v>30</v>
      </c>
      <c r="J13" s="6" t="s">
        <v>26</v>
      </c>
      <c r="K13" s="6" t="s">
        <v>1174</v>
      </c>
      <c r="L13" s="6"/>
      <c r="M13" s="6" t="s">
        <v>1334</v>
      </c>
      <c r="N13" s="6"/>
    </row>
    <row r="14" spans="1:14" s="9" customFormat="1" ht="52" hidden="1" x14ac:dyDescent="0.35">
      <c r="A14" s="6"/>
      <c r="B14" s="29" t="s">
        <v>19</v>
      </c>
      <c r="C14" s="57"/>
      <c r="D14" s="6" t="s">
        <v>1175</v>
      </c>
      <c r="E14" s="6" t="s">
        <v>1164</v>
      </c>
      <c r="F14" s="6" t="s">
        <v>35</v>
      </c>
      <c r="G14" s="60" t="s">
        <v>1158</v>
      </c>
      <c r="H14" s="6" t="s">
        <v>1107</v>
      </c>
      <c r="I14" s="6" t="s">
        <v>36</v>
      </c>
      <c r="J14" s="6" t="s">
        <v>26</v>
      </c>
      <c r="K14" s="6" t="s">
        <v>1176</v>
      </c>
      <c r="L14" s="6"/>
      <c r="M14" s="6" t="s">
        <v>1334</v>
      </c>
      <c r="N14" s="6"/>
    </row>
    <row r="15" spans="1:14" s="9" customFormat="1" ht="52" hidden="1" x14ac:dyDescent="0.35">
      <c r="A15" s="6"/>
      <c r="B15" s="29" t="s">
        <v>19</v>
      </c>
      <c r="C15" s="57"/>
      <c r="D15" s="6" t="s">
        <v>38</v>
      </c>
      <c r="E15" s="6" t="s">
        <v>1164</v>
      </c>
      <c r="F15" s="6" t="s">
        <v>40</v>
      </c>
      <c r="G15" s="60" t="s">
        <v>1158</v>
      </c>
      <c r="H15" s="6" t="s">
        <v>1107</v>
      </c>
      <c r="I15" s="6" t="s">
        <v>41</v>
      </c>
      <c r="J15" s="6" t="s">
        <v>26</v>
      </c>
      <c r="K15" s="6" t="s">
        <v>1177</v>
      </c>
      <c r="L15" s="6"/>
      <c r="M15" s="6" t="s">
        <v>1334</v>
      </c>
      <c r="N15" s="6"/>
    </row>
    <row r="16" spans="1:14" s="9" customFormat="1" ht="39" hidden="1" x14ac:dyDescent="0.35">
      <c r="A16" s="6"/>
      <c r="B16" s="29" t="s">
        <v>19</v>
      </c>
      <c r="C16" s="57"/>
      <c r="D16" s="6" t="s">
        <v>65</v>
      </c>
      <c r="E16" s="6" t="s">
        <v>1164</v>
      </c>
      <c r="F16" s="6" t="s">
        <v>66</v>
      </c>
      <c r="G16" s="60" t="s">
        <v>1158</v>
      </c>
      <c r="H16" s="6" t="s">
        <v>1107</v>
      </c>
      <c r="I16" s="6" t="s">
        <v>47</v>
      </c>
      <c r="J16" s="6" t="s">
        <v>26</v>
      </c>
      <c r="K16" s="6" t="s">
        <v>1184</v>
      </c>
      <c r="L16" s="6"/>
      <c r="M16" s="6" t="s">
        <v>1334</v>
      </c>
      <c r="N16" s="6"/>
    </row>
    <row r="17" spans="1:14" s="9" customFormat="1" ht="39" hidden="1" x14ac:dyDescent="0.35">
      <c r="A17" s="6"/>
      <c r="B17" s="29" t="s">
        <v>19</v>
      </c>
      <c r="C17" s="57"/>
      <c r="D17" s="6" t="s">
        <v>68</v>
      </c>
      <c r="E17" s="6" t="s">
        <v>1164</v>
      </c>
      <c r="F17" s="6" t="s">
        <v>69</v>
      </c>
      <c r="G17" s="60" t="s">
        <v>1158</v>
      </c>
      <c r="H17" s="6" t="s">
        <v>1107</v>
      </c>
      <c r="I17" s="6" t="s">
        <v>8</v>
      </c>
      <c r="J17" s="6" t="s">
        <v>26</v>
      </c>
      <c r="K17" s="6" t="s">
        <v>1185</v>
      </c>
      <c r="L17" s="6"/>
      <c r="M17" s="6" t="s">
        <v>1334</v>
      </c>
      <c r="N17" s="6"/>
    </row>
    <row r="18" spans="1:14" s="9" customFormat="1" ht="39" hidden="1" x14ac:dyDescent="0.35">
      <c r="A18" s="6"/>
      <c r="B18" s="29" t="s">
        <v>19</v>
      </c>
      <c r="C18" s="57"/>
      <c r="D18" s="6" t="s">
        <v>71</v>
      </c>
      <c r="E18" s="6" t="s">
        <v>1164</v>
      </c>
      <c r="F18" s="6" t="s">
        <v>69</v>
      </c>
      <c r="G18" s="60" t="s">
        <v>1158</v>
      </c>
      <c r="H18" s="6" t="s">
        <v>1107</v>
      </c>
      <c r="I18" s="6" t="s">
        <v>8</v>
      </c>
      <c r="J18" s="6" t="s">
        <v>26</v>
      </c>
      <c r="K18" s="6" t="s">
        <v>1186</v>
      </c>
      <c r="L18" s="6"/>
      <c r="M18" s="6" t="s">
        <v>1334</v>
      </c>
      <c r="N18" s="6"/>
    </row>
    <row r="19" spans="1:14" s="9" customFormat="1" ht="26" hidden="1" x14ac:dyDescent="0.35">
      <c r="A19" s="6"/>
      <c r="B19" s="29" t="s">
        <v>19</v>
      </c>
      <c r="C19" s="57"/>
      <c r="D19" s="6" t="s">
        <v>95</v>
      </c>
      <c r="E19" s="6" t="s">
        <v>1164</v>
      </c>
      <c r="F19" s="6" t="s">
        <v>96</v>
      </c>
      <c r="G19" s="60" t="s">
        <v>1158</v>
      </c>
      <c r="H19" s="6" t="s">
        <v>1107</v>
      </c>
      <c r="I19" s="6" t="s">
        <v>23</v>
      </c>
      <c r="J19" s="6" t="s">
        <v>26</v>
      </c>
      <c r="K19" s="6" t="s">
        <v>1194</v>
      </c>
      <c r="L19" s="6"/>
      <c r="M19" s="6" t="s">
        <v>1334</v>
      </c>
      <c r="N19" s="6"/>
    </row>
    <row r="20" spans="1:14" s="9" customFormat="1" ht="52" hidden="1" x14ac:dyDescent="0.35">
      <c r="A20" s="6"/>
      <c r="B20" s="29" t="s">
        <v>19</v>
      </c>
      <c r="C20" s="57"/>
      <c r="D20" s="6" t="s">
        <v>73</v>
      </c>
      <c r="E20" s="6" t="s">
        <v>1164</v>
      </c>
      <c r="F20" s="6" t="s">
        <v>74</v>
      </c>
      <c r="G20" s="60" t="s">
        <v>1158</v>
      </c>
      <c r="H20" s="6" t="s">
        <v>1107</v>
      </c>
      <c r="I20" s="6" t="s">
        <v>8</v>
      </c>
      <c r="J20" s="6" t="s">
        <v>26</v>
      </c>
      <c r="K20" s="6" t="s">
        <v>1187</v>
      </c>
      <c r="L20" s="6"/>
      <c r="M20" s="6" t="s">
        <v>1334</v>
      </c>
      <c r="N20" s="6"/>
    </row>
    <row r="21" spans="1:14" s="9" customFormat="1" ht="78" hidden="1" x14ac:dyDescent="0.35">
      <c r="A21" s="6"/>
      <c r="B21" s="29" t="s">
        <v>19</v>
      </c>
      <c r="C21" s="57"/>
      <c r="D21" s="6" t="s">
        <v>56</v>
      </c>
      <c r="E21" s="6" t="s">
        <v>1164</v>
      </c>
      <c r="F21" s="6" t="s">
        <v>57</v>
      </c>
      <c r="G21" s="60" t="s">
        <v>1158</v>
      </c>
      <c r="H21" s="6" t="s">
        <v>1107</v>
      </c>
      <c r="I21" s="6" t="s">
        <v>47</v>
      </c>
      <c r="J21" s="6" t="s">
        <v>26</v>
      </c>
      <c r="K21" s="6" t="s">
        <v>1181</v>
      </c>
      <c r="L21" s="6"/>
      <c r="M21" s="6" t="s">
        <v>1334</v>
      </c>
      <c r="N21" s="6"/>
    </row>
    <row r="22" spans="1:14" s="9" customFormat="1" ht="39" hidden="1" x14ac:dyDescent="0.35">
      <c r="A22" s="6"/>
      <c r="B22" s="29" t="s">
        <v>19</v>
      </c>
      <c r="C22" s="57"/>
      <c r="D22" s="6" t="s">
        <v>59</v>
      </c>
      <c r="E22" s="6" t="s">
        <v>1164</v>
      </c>
      <c r="F22" s="6" t="s">
        <v>60</v>
      </c>
      <c r="G22" s="60" t="s">
        <v>1158</v>
      </c>
      <c r="H22" s="6" t="s">
        <v>1107</v>
      </c>
      <c r="I22" s="6" t="s">
        <v>47</v>
      </c>
      <c r="J22" s="6" t="s">
        <v>26</v>
      </c>
      <c r="K22" s="6" t="s">
        <v>1182</v>
      </c>
      <c r="L22" s="6"/>
      <c r="M22" s="6" t="s">
        <v>1334</v>
      </c>
      <c r="N22" s="6"/>
    </row>
    <row r="23" spans="1:14" s="9" customFormat="1" ht="39" hidden="1" x14ac:dyDescent="0.35">
      <c r="A23" s="6"/>
      <c r="B23" s="29" t="s">
        <v>19</v>
      </c>
      <c r="C23" s="57"/>
      <c r="D23" s="6" t="s">
        <v>62</v>
      </c>
      <c r="E23" s="6" t="s">
        <v>1164</v>
      </c>
      <c r="F23" s="6" t="s">
        <v>63</v>
      </c>
      <c r="G23" s="60" t="s">
        <v>1158</v>
      </c>
      <c r="H23" s="6" t="s">
        <v>1107</v>
      </c>
      <c r="I23" s="6" t="s">
        <v>47</v>
      </c>
      <c r="J23" s="6" t="s">
        <v>26</v>
      </c>
      <c r="K23" s="6" t="s">
        <v>1183</v>
      </c>
      <c r="L23" s="6"/>
      <c r="M23" s="6" t="s">
        <v>1334</v>
      </c>
      <c r="N23" s="6"/>
    </row>
    <row r="24" spans="1:14" s="9" customFormat="1" ht="39" hidden="1" x14ac:dyDescent="0.35">
      <c r="A24" s="6"/>
      <c r="B24" s="29" t="s">
        <v>19</v>
      </c>
      <c r="C24" s="57"/>
      <c r="D24" s="6" t="s">
        <v>44</v>
      </c>
      <c r="E24" s="6" t="s">
        <v>1164</v>
      </c>
      <c r="F24" s="6" t="s">
        <v>46</v>
      </c>
      <c r="G24" s="60" t="s">
        <v>1158</v>
      </c>
      <c r="H24" s="6" t="s">
        <v>1107</v>
      </c>
      <c r="I24" s="6" t="s">
        <v>47</v>
      </c>
      <c r="J24" s="6" t="s">
        <v>26</v>
      </c>
      <c r="K24" s="6" t="s">
        <v>1178</v>
      </c>
      <c r="L24" s="6"/>
      <c r="M24" s="6" t="s">
        <v>1334</v>
      </c>
      <c r="N24" s="6"/>
    </row>
    <row r="25" spans="1:14" s="9" customFormat="1" ht="26" hidden="1" x14ac:dyDescent="0.35">
      <c r="A25" s="6"/>
      <c r="B25" s="29" t="s">
        <v>19</v>
      </c>
      <c r="C25" s="57"/>
      <c r="D25" s="6" t="s">
        <v>53</v>
      </c>
      <c r="E25" s="6" t="s">
        <v>1164</v>
      </c>
      <c r="F25" s="6" t="s">
        <v>54</v>
      </c>
      <c r="G25" s="60" t="s">
        <v>1158</v>
      </c>
      <c r="H25" s="6" t="s">
        <v>1107</v>
      </c>
      <c r="I25" s="6" t="s">
        <v>47</v>
      </c>
      <c r="J25" s="6" t="s">
        <v>26</v>
      </c>
      <c r="K25" s="6" t="s">
        <v>1180</v>
      </c>
      <c r="L25" s="6"/>
      <c r="M25" s="6" t="s">
        <v>1334</v>
      </c>
      <c r="N25" s="6"/>
    </row>
    <row r="26" spans="1:14" s="9" customFormat="1" ht="39" hidden="1" x14ac:dyDescent="0.35">
      <c r="A26" s="6"/>
      <c r="B26" s="29" t="s">
        <v>19</v>
      </c>
      <c r="C26" s="57"/>
      <c r="D26" s="6" t="s">
        <v>92</v>
      </c>
      <c r="E26" s="6" t="s">
        <v>1164</v>
      </c>
      <c r="F26" s="6" t="s">
        <v>93</v>
      </c>
      <c r="G26" s="60" t="s">
        <v>1158</v>
      </c>
      <c r="H26" s="6" t="s">
        <v>1107</v>
      </c>
      <c r="I26" s="6" t="s">
        <v>8</v>
      </c>
      <c r="J26" s="6" t="s">
        <v>26</v>
      </c>
      <c r="K26" s="6" t="s">
        <v>1193</v>
      </c>
      <c r="L26" s="6"/>
      <c r="M26" s="6" t="s">
        <v>1334</v>
      </c>
      <c r="N26" s="6"/>
    </row>
    <row r="27" spans="1:14" s="9" customFormat="1" ht="52" hidden="1" x14ac:dyDescent="0.35">
      <c r="A27" s="6"/>
      <c r="B27" s="29" t="s">
        <v>19</v>
      </c>
      <c r="C27" s="57"/>
      <c r="D27" s="6" t="s">
        <v>49</v>
      </c>
      <c r="E27" s="6" t="s">
        <v>1164</v>
      </c>
      <c r="F27" s="6" t="s">
        <v>50</v>
      </c>
      <c r="G27" s="60" t="s">
        <v>1158</v>
      </c>
      <c r="H27" s="6" t="s">
        <v>1107</v>
      </c>
      <c r="I27" s="6" t="s">
        <v>51</v>
      </c>
      <c r="J27" s="6" t="s">
        <v>26</v>
      </c>
      <c r="K27" s="6" t="s">
        <v>1179</v>
      </c>
      <c r="L27" s="6"/>
      <c r="M27" s="6" t="s">
        <v>1334</v>
      </c>
      <c r="N27" s="6"/>
    </row>
    <row r="28" spans="1:14" s="9" customFormat="1" ht="52" hidden="1" x14ac:dyDescent="0.35">
      <c r="A28" s="6"/>
      <c r="B28" s="29" t="s">
        <v>19</v>
      </c>
      <c r="C28" s="57"/>
      <c r="D28" s="6" t="s">
        <v>82</v>
      </c>
      <c r="E28" s="6" t="s">
        <v>1164</v>
      </c>
      <c r="F28" s="6" t="s">
        <v>83</v>
      </c>
      <c r="G28" s="60" t="s">
        <v>1158</v>
      </c>
      <c r="H28" s="6"/>
      <c r="I28" s="6" t="s">
        <v>1159</v>
      </c>
      <c r="J28" s="6" t="s">
        <v>26</v>
      </c>
      <c r="K28" s="6" t="s">
        <v>1190</v>
      </c>
      <c r="L28" s="6"/>
      <c r="M28" s="6" t="s">
        <v>1334</v>
      </c>
      <c r="N28" s="6"/>
    </row>
    <row r="29" spans="1:14" s="9" customFormat="1" ht="39" hidden="1" x14ac:dyDescent="0.35">
      <c r="A29" s="6"/>
      <c r="B29" s="29" t="s">
        <v>19</v>
      </c>
      <c r="C29" s="57"/>
      <c r="D29" s="6" t="s">
        <v>76</v>
      </c>
      <c r="E29" s="6" t="s">
        <v>1164</v>
      </c>
      <c r="F29" s="6" t="s">
        <v>77</v>
      </c>
      <c r="G29" s="60" t="s">
        <v>1158</v>
      </c>
      <c r="H29" s="6" t="s">
        <v>1107</v>
      </c>
      <c r="I29" s="6" t="s">
        <v>47</v>
      </c>
      <c r="J29" s="6" t="s">
        <v>26</v>
      </c>
      <c r="K29" s="6" t="s">
        <v>1188</v>
      </c>
      <c r="L29" s="6"/>
      <c r="M29" s="6" t="s">
        <v>1334</v>
      </c>
      <c r="N29" s="6"/>
    </row>
    <row r="30" spans="1:14" s="9" customFormat="1" ht="39" hidden="1" x14ac:dyDescent="0.35">
      <c r="A30" s="6"/>
      <c r="B30" s="29" t="s">
        <v>19</v>
      </c>
      <c r="C30" s="57"/>
      <c r="D30" s="6" t="s">
        <v>79</v>
      </c>
      <c r="E30" s="6" t="s">
        <v>1164</v>
      </c>
      <c r="F30" s="6" t="s">
        <v>80</v>
      </c>
      <c r="G30" s="60" t="s">
        <v>1158</v>
      </c>
      <c r="H30" s="6" t="s">
        <v>1107</v>
      </c>
      <c r="I30" s="6" t="s">
        <v>47</v>
      </c>
      <c r="J30" s="6" t="s">
        <v>26</v>
      </c>
      <c r="K30" s="6" t="s">
        <v>1189</v>
      </c>
      <c r="L30" s="6"/>
      <c r="M30" s="6" t="s">
        <v>1334</v>
      </c>
      <c r="N30" s="6"/>
    </row>
    <row r="31" spans="1:14" s="9" customFormat="1" ht="39" hidden="1" x14ac:dyDescent="0.35">
      <c r="A31" s="6"/>
      <c r="B31" s="29" t="s">
        <v>19</v>
      </c>
      <c r="C31" s="57"/>
      <c r="D31" s="6" t="s">
        <v>86</v>
      </c>
      <c r="E31" s="6" t="s">
        <v>1164</v>
      </c>
      <c r="F31" s="6" t="s">
        <v>87</v>
      </c>
      <c r="G31" s="60" t="s">
        <v>1158</v>
      </c>
      <c r="H31" s="6" t="s">
        <v>1107</v>
      </c>
      <c r="I31" s="6" t="s">
        <v>47</v>
      </c>
      <c r="J31" s="6" t="s">
        <v>26</v>
      </c>
      <c r="K31" s="6" t="s">
        <v>1191</v>
      </c>
      <c r="L31" s="6"/>
      <c r="M31" s="6" t="s">
        <v>1334</v>
      </c>
      <c r="N31" s="6"/>
    </row>
    <row r="32" spans="1:14" s="9" customFormat="1" ht="39" hidden="1" x14ac:dyDescent="0.35">
      <c r="A32" s="6"/>
      <c r="B32" s="29" t="s">
        <v>19</v>
      </c>
      <c r="C32" s="57"/>
      <c r="D32" s="6" t="s">
        <v>89</v>
      </c>
      <c r="E32" s="6" t="s">
        <v>1164</v>
      </c>
      <c r="F32" s="6" t="s">
        <v>90</v>
      </c>
      <c r="G32" s="60" t="s">
        <v>1158</v>
      </c>
      <c r="H32" s="6" t="s">
        <v>1107</v>
      </c>
      <c r="I32" s="6" t="s">
        <v>47</v>
      </c>
      <c r="J32" s="6" t="s">
        <v>26</v>
      </c>
      <c r="K32" s="6" t="s">
        <v>1192</v>
      </c>
      <c r="L32" s="6"/>
      <c r="M32" s="6" t="s">
        <v>1334</v>
      </c>
      <c r="N32" s="6"/>
    </row>
    <row r="33" spans="1:14" s="9" customFormat="1" ht="130" hidden="1" x14ac:dyDescent="0.35">
      <c r="A33" s="6"/>
      <c r="B33" s="29" t="s">
        <v>19</v>
      </c>
      <c r="C33" s="57"/>
      <c r="D33" s="6" t="s">
        <v>98</v>
      </c>
      <c r="E33" s="6" t="s">
        <v>1164</v>
      </c>
      <c r="F33" s="6" t="s">
        <v>99</v>
      </c>
      <c r="G33" s="60" t="s">
        <v>1158</v>
      </c>
      <c r="H33" s="6" t="s">
        <v>1107</v>
      </c>
      <c r="I33" s="6" t="s">
        <v>47</v>
      </c>
      <c r="J33" s="6" t="s">
        <v>26</v>
      </c>
      <c r="K33" s="6" t="s">
        <v>1195</v>
      </c>
      <c r="L33" s="6"/>
      <c r="M33" s="6" t="s">
        <v>1334</v>
      </c>
      <c r="N33" s="6"/>
    </row>
    <row r="34" spans="1:14" ht="117" x14ac:dyDescent="0.35">
      <c r="A34" s="6"/>
      <c r="B34" s="29" t="s">
        <v>19</v>
      </c>
      <c r="C34" s="57"/>
      <c r="D34" s="6" t="s">
        <v>303</v>
      </c>
      <c r="E34" s="6" t="s">
        <v>1158</v>
      </c>
      <c r="F34" s="6" t="s">
        <v>1335</v>
      </c>
      <c r="G34" s="60" t="s">
        <v>1158</v>
      </c>
      <c r="H34" s="6" t="s">
        <v>1107</v>
      </c>
      <c r="I34" s="6" t="s">
        <v>1329</v>
      </c>
      <c r="J34" s="6" t="s">
        <v>1336</v>
      </c>
      <c r="K34" s="6" t="s">
        <v>1337</v>
      </c>
      <c r="L34" s="6"/>
      <c r="M34" s="6" t="s">
        <v>1334</v>
      </c>
      <c r="N34" s="6"/>
    </row>
    <row r="35" spans="1:14" s="6" customFormat="1" ht="39" hidden="1" x14ac:dyDescent="0.35">
      <c r="B35" s="7" t="s">
        <v>101</v>
      </c>
      <c r="C35" s="57"/>
      <c r="D35" s="6" t="s">
        <v>1338</v>
      </c>
      <c r="E35" s="8" t="s">
        <v>1164</v>
      </c>
      <c r="F35" s="6" t="s">
        <v>1339</v>
      </c>
      <c r="G35" s="60" t="s">
        <v>1164</v>
      </c>
      <c r="H35" s="6" t="s">
        <v>359</v>
      </c>
      <c r="I35" s="6" t="s">
        <v>26</v>
      </c>
      <c r="K35" s="6" t="s">
        <v>1196</v>
      </c>
      <c r="M35" s="6" t="s">
        <v>1340</v>
      </c>
    </row>
    <row r="36" spans="1:14" s="9" customFormat="1" ht="52" hidden="1" x14ac:dyDescent="0.35">
      <c r="A36" s="6"/>
      <c r="B36" s="7" t="s">
        <v>101</v>
      </c>
      <c r="C36" s="62" t="s">
        <v>445</v>
      </c>
      <c r="D36" s="8" t="s">
        <v>102</v>
      </c>
      <c r="E36" s="8" t="s">
        <v>1164</v>
      </c>
      <c r="F36" s="8" t="s">
        <v>103</v>
      </c>
      <c r="G36" s="67" t="s">
        <v>1158</v>
      </c>
      <c r="H36" s="6" t="s">
        <v>1107</v>
      </c>
      <c r="I36" s="8" t="s">
        <v>47</v>
      </c>
      <c r="J36" s="8" t="s">
        <v>26</v>
      </c>
      <c r="K36" s="8" t="s">
        <v>1197</v>
      </c>
      <c r="L36" s="11"/>
      <c r="M36" s="6" t="s">
        <v>1340</v>
      </c>
      <c r="N36" s="6"/>
    </row>
    <row r="37" spans="1:14" s="9" customFormat="1" ht="52" hidden="1" x14ac:dyDescent="0.35">
      <c r="A37" s="6"/>
      <c r="B37" s="7" t="s">
        <v>101</v>
      </c>
      <c r="C37" s="62" t="s">
        <v>445</v>
      </c>
      <c r="D37" s="8" t="s">
        <v>105</v>
      </c>
      <c r="E37" s="8" t="s">
        <v>1164</v>
      </c>
      <c r="F37" s="8" t="s">
        <v>106</v>
      </c>
      <c r="G37" s="67" t="s">
        <v>1158</v>
      </c>
      <c r="H37" s="6" t="s">
        <v>1107</v>
      </c>
      <c r="I37" s="8" t="s">
        <v>47</v>
      </c>
      <c r="J37" s="8" t="s">
        <v>26</v>
      </c>
      <c r="K37" s="8" t="s">
        <v>1198</v>
      </c>
      <c r="L37" s="11"/>
      <c r="M37" s="6" t="s">
        <v>1340</v>
      </c>
      <c r="N37" s="6"/>
    </row>
    <row r="38" spans="1:14" s="9" customFormat="1" ht="39" hidden="1" x14ac:dyDescent="0.35">
      <c r="A38" s="6"/>
      <c r="B38" s="7" t="s">
        <v>101</v>
      </c>
      <c r="C38" s="62" t="s">
        <v>445</v>
      </c>
      <c r="D38" s="8" t="s">
        <v>108</v>
      </c>
      <c r="E38" s="8" t="s">
        <v>1164</v>
      </c>
      <c r="F38" s="8" t="s">
        <v>108</v>
      </c>
      <c r="G38" s="67" t="s">
        <v>1158</v>
      </c>
      <c r="H38" s="6" t="s">
        <v>1107</v>
      </c>
      <c r="I38" s="8" t="s">
        <v>8</v>
      </c>
      <c r="J38" s="8" t="s">
        <v>26</v>
      </c>
      <c r="K38" s="8" t="s">
        <v>1199</v>
      </c>
      <c r="L38" s="11"/>
      <c r="M38" s="6" t="s">
        <v>1340</v>
      </c>
      <c r="N38" s="6"/>
    </row>
    <row r="39" spans="1:14" s="9" customFormat="1" ht="39" hidden="1" x14ac:dyDescent="0.35">
      <c r="A39" s="6"/>
      <c r="B39" s="7" t="s">
        <v>101</v>
      </c>
      <c r="C39" s="62" t="s">
        <v>445</v>
      </c>
      <c r="D39" s="8" t="s">
        <v>110</v>
      </c>
      <c r="E39" s="8" t="s">
        <v>1164</v>
      </c>
      <c r="F39" s="8" t="s">
        <v>110</v>
      </c>
      <c r="G39" s="67" t="s">
        <v>1158</v>
      </c>
      <c r="H39" s="6" t="s">
        <v>1107</v>
      </c>
      <c r="I39" s="8" t="s">
        <v>8</v>
      </c>
      <c r="J39" s="8" t="s">
        <v>26</v>
      </c>
      <c r="K39" s="8" t="s">
        <v>1200</v>
      </c>
      <c r="L39" s="11"/>
      <c r="M39" s="6" t="s">
        <v>1340</v>
      </c>
      <c r="N39" s="6"/>
    </row>
    <row r="40" spans="1:14" s="9" customFormat="1" ht="52" hidden="1" x14ac:dyDescent="0.35">
      <c r="A40" s="6"/>
      <c r="B40" s="7" t="s">
        <v>101</v>
      </c>
      <c r="C40" s="62" t="s">
        <v>445</v>
      </c>
      <c r="D40" s="8" t="s">
        <v>112</v>
      </c>
      <c r="E40" s="8" t="s">
        <v>1164</v>
      </c>
      <c r="F40" s="8" t="s">
        <v>112</v>
      </c>
      <c r="G40" s="67" t="s">
        <v>1158</v>
      </c>
      <c r="H40" s="6" t="s">
        <v>1107</v>
      </c>
      <c r="I40" s="8" t="s">
        <v>8</v>
      </c>
      <c r="J40" s="8" t="s">
        <v>26</v>
      </c>
      <c r="K40" s="8" t="s">
        <v>1201</v>
      </c>
      <c r="L40" s="11"/>
      <c r="M40" s="6" t="s">
        <v>1340</v>
      </c>
      <c r="N40" s="6"/>
    </row>
    <row r="41" spans="1:14" s="9" customFormat="1" ht="52" hidden="1" x14ac:dyDescent="0.35">
      <c r="A41" s="6"/>
      <c r="B41" s="7" t="s">
        <v>101</v>
      </c>
      <c r="C41" s="62" t="s">
        <v>445</v>
      </c>
      <c r="D41" s="8" t="s">
        <v>114</v>
      </c>
      <c r="E41" s="8" t="s">
        <v>1164</v>
      </c>
      <c r="F41" s="8" t="s">
        <v>114</v>
      </c>
      <c r="G41" s="67" t="s">
        <v>1158</v>
      </c>
      <c r="H41" s="6" t="s">
        <v>1107</v>
      </c>
      <c r="I41" s="8" t="s">
        <v>8</v>
      </c>
      <c r="J41" s="8" t="s">
        <v>26</v>
      </c>
      <c r="K41" s="8" t="s">
        <v>1202</v>
      </c>
      <c r="L41" s="11"/>
      <c r="M41" s="6" t="s">
        <v>1340</v>
      </c>
      <c r="N41" s="6"/>
    </row>
    <row r="42" spans="1:14" s="9" customFormat="1" ht="52" hidden="1" x14ac:dyDescent="0.35">
      <c r="A42" s="6"/>
      <c r="B42" s="7" t="s">
        <v>101</v>
      </c>
      <c r="C42" s="62" t="s">
        <v>445</v>
      </c>
      <c r="D42" s="8" t="s">
        <v>116</v>
      </c>
      <c r="E42" s="8" t="s">
        <v>1164</v>
      </c>
      <c r="F42" s="8" t="s">
        <v>116</v>
      </c>
      <c r="G42" s="67" t="s">
        <v>1158</v>
      </c>
      <c r="H42" s="6" t="s">
        <v>1107</v>
      </c>
      <c r="I42" s="8" t="s">
        <v>8</v>
      </c>
      <c r="J42" s="8" t="s">
        <v>26</v>
      </c>
      <c r="K42" s="8" t="s">
        <v>1203</v>
      </c>
      <c r="L42" s="11"/>
      <c r="M42" s="6" t="s">
        <v>1340</v>
      </c>
      <c r="N42" s="6"/>
    </row>
    <row r="43" spans="1:14" s="9" customFormat="1" ht="52" hidden="1" x14ac:dyDescent="0.35">
      <c r="A43" s="6"/>
      <c r="B43" s="7" t="s">
        <v>101</v>
      </c>
      <c r="C43" s="62" t="s">
        <v>445</v>
      </c>
      <c r="D43" s="8" t="s">
        <v>118</v>
      </c>
      <c r="E43" s="8" t="s">
        <v>1164</v>
      </c>
      <c r="F43" s="8" t="s">
        <v>118</v>
      </c>
      <c r="G43" s="67" t="s">
        <v>1158</v>
      </c>
      <c r="H43" s="6" t="s">
        <v>1107</v>
      </c>
      <c r="I43" s="8" t="s">
        <v>8</v>
      </c>
      <c r="J43" s="8" t="s">
        <v>26</v>
      </c>
      <c r="K43" s="8" t="s">
        <v>1204</v>
      </c>
      <c r="L43" s="11"/>
      <c r="M43" s="6" t="s">
        <v>1340</v>
      </c>
      <c r="N43" s="6"/>
    </row>
    <row r="44" spans="1:14" s="9" customFormat="1" ht="39" hidden="1" x14ac:dyDescent="0.35">
      <c r="A44" s="6"/>
      <c r="B44" s="7" t="s">
        <v>101</v>
      </c>
      <c r="C44" s="62" t="s">
        <v>445</v>
      </c>
      <c r="D44" s="8" t="s">
        <v>120</v>
      </c>
      <c r="E44" s="8" t="s">
        <v>1164</v>
      </c>
      <c r="F44" s="8" t="s">
        <v>120</v>
      </c>
      <c r="G44" s="67" t="s">
        <v>1158</v>
      </c>
      <c r="H44" s="6" t="s">
        <v>1107</v>
      </c>
      <c r="I44" s="8" t="s">
        <v>8</v>
      </c>
      <c r="J44" s="8" t="s">
        <v>26</v>
      </c>
      <c r="K44" s="8" t="s">
        <v>1205</v>
      </c>
      <c r="L44" s="11"/>
      <c r="M44" s="6" t="s">
        <v>1340</v>
      </c>
      <c r="N44" s="6"/>
    </row>
    <row r="45" spans="1:14" s="9" customFormat="1" ht="52" hidden="1" x14ac:dyDescent="0.35">
      <c r="A45" s="6"/>
      <c r="B45" s="7" t="s">
        <v>101</v>
      </c>
      <c r="C45" s="62" t="s">
        <v>445</v>
      </c>
      <c r="D45" s="8" t="s">
        <v>122</v>
      </c>
      <c r="E45" s="8" t="s">
        <v>1164</v>
      </c>
      <c r="F45" s="8" t="s">
        <v>122</v>
      </c>
      <c r="G45" s="67" t="s">
        <v>1158</v>
      </c>
      <c r="H45" s="6" t="s">
        <v>1107</v>
      </c>
      <c r="I45" s="8" t="s">
        <v>8</v>
      </c>
      <c r="J45" s="8" t="s">
        <v>26</v>
      </c>
      <c r="K45" s="8" t="s">
        <v>1206</v>
      </c>
      <c r="L45" s="11"/>
      <c r="M45" s="6" t="s">
        <v>1340</v>
      </c>
      <c r="N45" s="6"/>
    </row>
    <row r="46" spans="1:14" s="9" customFormat="1" ht="53.5" hidden="1" x14ac:dyDescent="0.35">
      <c r="A46" s="6"/>
      <c r="B46" s="7" t="s">
        <v>101</v>
      </c>
      <c r="C46" s="62" t="s">
        <v>445</v>
      </c>
      <c r="D46" s="8" t="s">
        <v>1207</v>
      </c>
      <c r="E46" s="8" t="s">
        <v>1164</v>
      </c>
      <c r="F46" s="8" t="s">
        <v>125</v>
      </c>
      <c r="G46" s="67" t="s">
        <v>1158</v>
      </c>
      <c r="H46" s="6" t="s">
        <v>1107</v>
      </c>
      <c r="I46" s="8" t="s">
        <v>47</v>
      </c>
      <c r="J46" s="8" t="s">
        <v>26</v>
      </c>
      <c r="K46" s="8" t="s">
        <v>1341</v>
      </c>
      <c r="L46" s="11"/>
      <c r="M46" s="6" t="s">
        <v>1340</v>
      </c>
      <c r="N46" s="6"/>
    </row>
    <row r="47" spans="1:14" s="9" customFormat="1" ht="143" x14ac:dyDescent="0.35">
      <c r="A47" s="6"/>
      <c r="B47" s="7" t="s">
        <v>101</v>
      </c>
      <c r="C47" s="62" t="s">
        <v>445</v>
      </c>
      <c r="D47" s="62" t="s">
        <v>445</v>
      </c>
      <c r="E47" s="8" t="s">
        <v>1158</v>
      </c>
      <c r="F47" s="8" t="s">
        <v>1342</v>
      </c>
      <c r="G47" s="67" t="s">
        <v>1158</v>
      </c>
      <c r="H47" s="6" t="s">
        <v>1107</v>
      </c>
      <c r="I47" s="8" t="s">
        <v>1329</v>
      </c>
      <c r="J47" s="6" t="s">
        <v>1343</v>
      </c>
      <c r="K47" s="6" t="s">
        <v>1344</v>
      </c>
      <c r="L47" s="11"/>
      <c r="M47" s="6" t="s">
        <v>1340</v>
      </c>
      <c r="N47" s="6"/>
    </row>
    <row r="48" spans="1:14" s="9" customFormat="1" ht="39" hidden="1" x14ac:dyDescent="0.35">
      <c r="A48" s="6"/>
      <c r="B48" s="7" t="s">
        <v>101</v>
      </c>
      <c r="C48" s="62" t="s">
        <v>484</v>
      </c>
      <c r="D48" s="8" t="s">
        <v>127</v>
      </c>
      <c r="E48" s="8" t="s">
        <v>1164</v>
      </c>
      <c r="F48" s="8" t="s">
        <v>128</v>
      </c>
      <c r="G48" s="67" t="s">
        <v>1158</v>
      </c>
      <c r="H48" s="6" t="s">
        <v>1107</v>
      </c>
      <c r="I48" s="8" t="s">
        <v>47</v>
      </c>
      <c r="J48" s="8" t="s">
        <v>26</v>
      </c>
      <c r="K48" s="8" t="s">
        <v>1209</v>
      </c>
      <c r="L48" s="11"/>
      <c r="M48" s="6" t="s">
        <v>1340</v>
      </c>
      <c r="N48" s="6"/>
    </row>
    <row r="49" spans="1:14" s="9" customFormat="1" ht="39" hidden="1" x14ac:dyDescent="0.35">
      <c r="A49" s="6"/>
      <c r="B49" s="7" t="s">
        <v>101</v>
      </c>
      <c r="C49" s="62" t="s">
        <v>484</v>
      </c>
      <c r="D49" s="8" t="s">
        <v>130</v>
      </c>
      <c r="E49" s="8" t="s">
        <v>1164</v>
      </c>
      <c r="F49" s="8" t="s">
        <v>131</v>
      </c>
      <c r="G49" s="67" t="s">
        <v>1158</v>
      </c>
      <c r="H49" s="6" t="s">
        <v>1107</v>
      </c>
      <c r="I49" s="8" t="s">
        <v>47</v>
      </c>
      <c r="J49" s="8" t="s">
        <v>26</v>
      </c>
      <c r="K49" s="8" t="s">
        <v>1210</v>
      </c>
      <c r="L49" s="11"/>
      <c r="M49" s="6" t="s">
        <v>1340</v>
      </c>
      <c r="N49" s="6"/>
    </row>
    <row r="50" spans="1:14" s="9" customFormat="1" ht="39" hidden="1" x14ac:dyDescent="0.35">
      <c r="A50" s="6"/>
      <c r="B50" s="7" t="s">
        <v>101</v>
      </c>
      <c r="C50" s="62" t="s">
        <v>484</v>
      </c>
      <c r="D50" s="8" t="s">
        <v>133</v>
      </c>
      <c r="E50" s="8" t="s">
        <v>1164</v>
      </c>
      <c r="F50" s="8" t="s">
        <v>134</v>
      </c>
      <c r="G50" s="67" t="s">
        <v>1158</v>
      </c>
      <c r="H50" s="6" t="s">
        <v>1107</v>
      </c>
      <c r="I50" s="8" t="s">
        <v>47</v>
      </c>
      <c r="J50" s="8" t="s">
        <v>26</v>
      </c>
      <c r="K50" s="8" t="s">
        <v>1211</v>
      </c>
      <c r="L50" s="11"/>
      <c r="M50" s="6" t="s">
        <v>1340</v>
      </c>
      <c r="N50" s="6"/>
    </row>
    <row r="51" spans="1:14" s="9" customFormat="1" ht="39" hidden="1" x14ac:dyDescent="0.35">
      <c r="A51" s="6"/>
      <c r="B51" s="7" t="s">
        <v>101</v>
      </c>
      <c r="C51" s="62" t="s">
        <v>484</v>
      </c>
      <c r="D51" s="8" t="s">
        <v>136</v>
      </c>
      <c r="E51" s="8" t="s">
        <v>1164</v>
      </c>
      <c r="F51" s="8" t="s">
        <v>137</v>
      </c>
      <c r="G51" s="67" t="s">
        <v>1158</v>
      </c>
      <c r="H51" s="6" t="s">
        <v>1107</v>
      </c>
      <c r="I51" s="8" t="s">
        <v>47</v>
      </c>
      <c r="J51" s="8" t="s">
        <v>26</v>
      </c>
      <c r="K51" s="8" t="s">
        <v>1212</v>
      </c>
      <c r="L51" s="11"/>
      <c r="M51" s="6" t="s">
        <v>1340</v>
      </c>
      <c r="N51" s="6"/>
    </row>
    <row r="52" spans="1:14" s="9" customFormat="1" ht="52" hidden="1" x14ac:dyDescent="0.35">
      <c r="A52" s="6"/>
      <c r="B52" s="7" t="s">
        <v>101</v>
      </c>
      <c r="C52" s="62" t="s">
        <v>484</v>
      </c>
      <c r="D52" s="8" t="s">
        <v>139</v>
      </c>
      <c r="E52" s="8" t="s">
        <v>1164</v>
      </c>
      <c r="F52" s="8" t="s">
        <v>140</v>
      </c>
      <c r="G52" s="67" t="s">
        <v>1158</v>
      </c>
      <c r="H52" s="6" t="s">
        <v>1107</v>
      </c>
      <c r="I52" s="8" t="s">
        <v>47</v>
      </c>
      <c r="J52" s="8" t="s">
        <v>26</v>
      </c>
      <c r="K52" s="8" t="s">
        <v>1213</v>
      </c>
      <c r="L52" s="11"/>
      <c r="M52" s="6" t="s">
        <v>1340</v>
      </c>
      <c r="N52" s="6"/>
    </row>
    <row r="53" spans="1:14" s="9" customFormat="1" ht="39" hidden="1" x14ac:dyDescent="0.35">
      <c r="A53" s="6"/>
      <c r="B53" s="7" t="s">
        <v>101</v>
      </c>
      <c r="C53" s="62" t="s">
        <v>484</v>
      </c>
      <c r="D53" s="8" t="s">
        <v>142</v>
      </c>
      <c r="E53" s="8" t="s">
        <v>1164</v>
      </c>
      <c r="F53" s="8" t="s">
        <v>143</v>
      </c>
      <c r="G53" s="67" t="s">
        <v>1158</v>
      </c>
      <c r="H53" s="6" t="s">
        <v>1107</v>
      </c>
      <c r="I53" s="8" t="s">
        <v>47</v>
      </c>
      <c r="J53" s="8" t="s">
        <v>26</v>
      </c>
      <c r="K53" s="8" t="s">
        <v>1214</v>
      </c>
      <c r="L53" s="11"/>
      <c r="M53" s="6" t="s">
        <v>1340</v>
      </c>
      <c r="N53" s="6"/>
    </row>
    <row r="54" spans="1:14" s="9" customFormat="1" ht="39" hidden="1" x14ac:dyDescent="0.35">
      <c r="A54" s="6"/>
      <c r="B54" s="7" t="s">
        <v>101</v>
      </c>
      <c r="C54" s="62" t="s">
        <v>484</v>
      </c>
      <c r="D54" s="8" t="s">
        <v>145</v>
      </c>
      <c r="E54" s="8" t="s">
        <v>1164</v>
      </c>
      <c r="F54" s="8" t="s">
        <v>146</v>
      </c>
      <c r="G54" s="67" t="s">
        <v>1158</v>
      </c>
      <c r="H54" s="6" t="s">
        <v>1107</v>
      </c>
      <c r="I54" s="8" t="s">
        <v>47</v>
      </c>
      <c r="J54" s="8" t="s">
        <v>26</v>
      </c>
      <c r="K54" s="8" t="s">
        <v>1215</v>
      </c>
      <c r="L54" s="11"/>
      <c r="M54" s="6" t="s">
        <v>1340</v>
      </c>
      <c r="N54" s="6"/>
    </row>
    <row r="55" spans="1:14" s="9" customFormat="1" ht="52" hidden="1" x14ac:dyDescent="0.35">
      <c r="A55" s="6"/>
      <c r="B55" s="7" t="s">
        <v>101</v>
      </c>
      <c r="C55" s="62" t="s">
        <v>484</v>
      </c>
      <c r="D55" s="8" t="s">
        <v>1216</v>
      </c>
      <c r="E55" s="8" t="s">
        <v>1164</v>
      </c>
      <c r="F55" s="8" t="s">
        <v>149</v>
      </c>
      <c r="G55" s="67" t="s">
        <v>1158</v>
      </c>
      <c r="H55" s="6" t="s">
        <v>1107</v>
      </c>
      <c r="I55" s="8" t="s">
        <v>47</v>
      </c>
      <c r="J55" s="8" t="s">
        <v>26</v>
      </c>
      <c r="K55" s="8" t="s">
        <v>1217</v>
      </c>
      <c r="L55" s="11"/>
      <c r="M55" s="6" t="s">
        <v>1340</v>
      </c>
      <c r="N55" s="6"/>
    </row>
    <row r="56" spans="1:14" s="9" customFormat="1" ht="39" hidden="1" x14ac:dyDescent="0.35">
      <c r="A56" s="6"/>
      <c r="B56" s="7" t="s">
        <v>101</v>
      </c>
      <c r="C56" s="62" t="s">
        <v>484</v>
      </c>
      <c r="D56" s="8" t="s">
        <v>151</v>
      </c>
      <c r="E56" s="8" t="s">
        <v>1164</v>
      </c>
      <c r="F56" s="8" t="s">
        <v>152</v>
      </c>
      <c r="G56" s="67" t="s">
        <v>1158</v>
      </c>
      <c r="H56" s="6" t="s">
        <v>1107</v>
      </c>
      <c r="I56" s="8" t="s">
        <v>47</v>
      </c>
      <c r="J56" s="8" t="s">
        <v>26</v>
      </c>
      <c r="K56" s="8" t="s">
        <v>1218</v>
      </c>
      <c r="L56" s="11"/>
      <c r="M56" s="6" t="s">
        <v>1340</v>
      </c>
      <c r="N56" s="6"/>
    </row>
    <row r="57" spans="1:14" s="9" customFormat="1" ht="39" hidden="1" x14ac:dyDescent="0.35">
      <c r="A57" s="6"/>
      <c r="B57" s="7" t="s">
        <v>101</v>
      </c>
      <c r="C57" s="62" t="s">
        <v>484</v>
      </c>
      <c r="D57" s="8" t="s">
        <v>154</v>
      </c>
      <c r="E57" s="8" t="s">
        <v>1164</v>
      </c>
      <c r="F57" s="8" t="s">
        <v>155</v>
      </c>
      <c r="G57" s="67" t="s">
        <v>1158</v>
      </c>
      <c r="H57" s="6" t="s">
        <v>1107</v>
      </c>
      <c r="I57" s="8" t="s">
        <v>47</v>
      </c>
      <c r="J57" s="8" t="s">
        <v>26</v>
      </c>
      <c r="K57" s="8" t="s">
        <v>1219</v>
      </c>
      <c r="L57" s="11"/>
      <c r="M57" s="6" t="s">
        <v>1340</v>
      </c>
      <c r="N57" s="6"/>
    </row>
    <row r="58" spans="1:14" s="9" customFormat="1" ht="39" hidden="1" x14ac:dyDescent="0.35">
      <c r="A58" s="6"/>
      <c r="B58" s="7" t="s">
        <v>101</v>
      </c>
      <c r="C58" s="62" t="s">
        <v>484</v>
      </c>
      <c r="D58" s="8" t="s">
        <v>157</v>
      </c>
      <c r="E58" s="8" t="s">
        <v>1164</v>
      </c>
      <c r="F58" s="8" t="s">
        <v>158</v>
      </c>
      <c r="G58" s="67" t="s">
        <v>1158</v>
      </c>
      <c r="H58" s="6" t="s">
        <v>1107</v>
      </c>
      <c r="I58" s="8" t="s">
        <v>47</v>
      </c>
      <c r="J58" s="8" t="s">
        <v>26</v>
      </c>
      <c r="K58" s="8" t="s">
        <v>1220</v>
      </c>
      <c r="L58" s="11"/>
      <c r="M58" s="6" t="s">
        <v>1340</v>
      </c>
      <c r="N58" s="6"/>
    </row>
    <row r="59" spans="1:14" s="9" customFormat="1" ht="39" hidden="1" x14ac:dyDescent="0.35">
      <c r="A59" s="6"/>
      <c r="B59" s="7" t="s">
        <v>101</v>
      </c>
      <c r="C59" s="62" t="s">
        <v>484</v>
      </c>
      <c r="D59" s="8" t="s">
        <v>160</v>
      </c>
      <c r="E59" s="8" t="s">
        <v>1164</v>
      </c>
      <c r="F59" s="8" t="s">
        <v>161</v>
      </c>
      <c r="G59" s="67" t="s">
        <v>1158</v>
      </c>
      <c r="H59" s="6" t="s">
        <v>1107</v>
      </c>
      <c r="I59" s="8" t="s">
        <v>47</v>
      </c>
      <c r="J59" s="8" t="s">
        <v>26</v>
      </c>
      <c r="K59" s="8" t="s">
        <v>1221</v>
      </c>
      <c r="L59" s="11"/>
      <c r="M59" s="6" t="s">
        <v>1340</v>
      </c>
      <c r="N59" s="6"/>
    </row>
    <row r="60" spans="1:14" s="9" customFormat="1" ht="52" hidden="1" x14ac:dyDescent="0.35">
      <c r="A60" s="6"/>
      <c r="B60" s="7" t="s">
        <v>101</v>
      </c>
      <c r="C60" s="62" t="s">
        <v>484</v>
      </c>
      <c r="D60" s="8" t="s">
        <v>1222</v>
      </c>
      <c r="E60" s="8" t="s">
        <v>1164</v>
      </c>
      <c r="F60" s="8" t="s">
        <v>164</v>
      </c>
      <c r="G60" s="67" t="s">
        <v>1158</v>
      </c>
      <c r="H60" s="6" t="s">
        <v>1107</v>
      </c>
      <c r="I60" s="8" t="s">
        <v>47</v>
      </c>
      <c r="J60" s="8" t="s">
        <v>26</v>
      </c>
      <c r="K60" s="8" t="s">
        <v>1223</v>
      </c>
      <c r="L60" s="11"/>
      <c r="M60" s="6" t="s">
        <v>1340</v>
      </c>
      <c r="N60" s="6"/>
    </row>
    <row r="61" spans="1:14" s="9" customFormat="1" ht="52" hidden="1" x14ac:dyDescent="0.35">
      <c r="A61" s="6"/>
      <c r="B61" s="7" t="s">
        <v>101</v>
      </c>
      <c r="C61" s="62" t="s">
        <v>484</v>
      </c>
      <c r="D61" s="8" t="s">
        <v>166</v>
      </c>
      <c r="E61" s="8" t="s">
        <v>1164</v>
      </c>
      <c r="F61" s="8" t="s">
        <v>167</v>
      </c>
      <c r="G61" s="67" t="s">
        <v>1158</v>
      </c>
      <c r="H61" s="6" t="s">
        <v>1107</v>
      </c>
      <c r="I61" s="8" t="s">
        <v>47</v>
      </c>
      <c r="J61" s="8" t="s">
        <v>26</v>
      </c>
      <c r="K61" s="8" t="s">
        <v>1224</v>
      </c>
      <c r="L61" s="11"/>
      <c r="M61" s="6" t="s">
        <v>1340</v>
      </c>
      <c r="N61" s="6"/>
    </row>
    <row r="62" spans="1:14" s="9" customFormat="1" ht="39" hidden="1" x14ac:dyDescent="0.35">
      <c r="A62" s="6"/>
      <c r="B62" s="7" t="s">
        <v>101</v>
      </c>
      <c r="C62" s="62" t="s">
        <v>484</v>
      </c>
      <c r="D62" s="8" t="s">
        <v>169</v>
      </c>
      <c r="E62" s="8" t="s">
        <v>1164</v>
      </c>
      <c r="F62" s="8" t="s">
        <v>170</v>
      </c>
      <c r="G62" s="67" t="s">
        <v>1158</v>
      </c>
      <c r="H62" s="6" t="s">
        <v>1107</v>
      </c>
      <c r="I62" s="8" t="s">
        <v>47</v>
      </c>
      <c r="J62" s="8" t="s">
        <v>26</v>
      </c>
      <c r="K62" s="8" t="s">
        <v>1225</v>
      </c>
      <c r="L62" s="11"/>
      <c r="M62" s="6" t="s">
        <v>1340</v>
      </c>
      <c r="N62" s="6"/>
    </row>
    <row r="63" spans="1:14" s="9" customFormat="1" ht="39" hidden="1" x14ac:dyDescent="0.35">
      <c r="A63" s="6"/>
      <c r="B63" s="7" t="s">
        <v>101</v>
      </c>
      <c r="C63" s="62" t="s">
        <v>484</v>
      </c>
      <c r="D63" s="8" t="s">
        <v>172</v>
      </c>
      <c r="E63" s="8" t="s">
        <v>1164</v>
      </c>
      <c r="F63" s="8" t="s">
        <v>173</v>
      </c>
      <c r="G63" s="67" t="s">
        <v>1158</v>
      </c>
      <c r="H63" s="6" t="s">
        <v>1107</v>
      </c>
      <c r="I63" s="8" t="s">
        <v>47</v>
      </c>
      <c r="J63" s="8" t="s">
        <v>26</v>
      </c>
      <c r="K63" s="8" t="s">
        <v>1226</v>
      </c>
      <c r="L63" s="11"/>
      <c r="M63" s="6" t="s">
        <v>1340</v>
      </c>
      <c r="N63" s="6"/>
    </row>
    <row r="64" spans="1:14" s="9" customFormat="1" ht="78" hidden="1" x14ac:dyDescent="0.35">
      <c r="A64" s="6"/>
      <c r="B64" s="7" t="s">
        <v>101</v>
      </c>
      <c r="C64" s="62" t="s">
        <v>484</v>
      </c>
      <c r="D64" s="8" t="s">
        <v>1227</v>
      </c>
      <c r="E64" s="8" t="s">
        <v>1164</v>
      </c>
      <c r="F64" s="8" t="s">
        <v>176</v>
      </c>
      <c r="G64" s="67" t="s">
        <v>1158</v>
      </c>
      <c r="H64" s="6" t="s">
        <v>1107</v>
      </c>
      <c r="I64" s="8" t="s">
        <v>47</v>
      </c>
      <c r="J64" s="8" t="s">
        <v>26</v>
      </c>
      <c r="K64" s="8" t="s">
        <v>1228</v>
      </c>
      <c r="L64" s="11"/>
      <c r="M64" s="6" t="s">
        <v>1340</v>
      </c>
      <c r="N64" s="6"/>
    </row>
    <row r="65" spans="1:17" s="9" customFormat="1" ht="39" hidden="1" x14ac:dyDescent="0.35">
      <c r="A65" s="6"/>
      <c r="B65" s="7" t="s">
        <v>101</v>
      </c>
      <c r="C65" s="62" t="s">
        <v>484</v>
      </c>
      <c r="D65" s="8" t="s">
        <v>1229</v>
      </c>
      <c r="E65" s="8" t="s">
        <v>1164</v>
      </c>
      <c r="F65" s="8" t="s">
        <v>179</v>
      </c>
      <c r="G65" s="67" t="s">
        <v>1158</v>
      </c>
      <c r="H65" s="6" t="s">
        <v>1107</v>
      </c>
      <c r="I65" s="8" t="s">
        <v>8</v>
      </c>
      <c r="J65" s="8" t="s">
        <v>26</v>
      </c>
      <c r="K65" s="8" t="s">
        <v>1230</v>
      </c>
      <c r="L65" s="11"/>
      <c r="M65" s="6" t="s">
        <v>1340</v>
      </c>
      <c r="N65" s="6"/>
    </row>
    <row r="66" spans="1:17" s="9" customFormat="1" ht="143" x14ac:dyDescent="0.35">
      <c r="A66" s="6"/>
      <c r="B66" s="7" t="s">
        <v>101</v>
      </c>
      <c r="C66" s="62" t="s">
        <v>484</v>
      </c>
      <c r="D66" s="62" t="s">
        <v>484</v>
      </c>
      <c r="E66" s="8" t="s">
        <v>1158</v>
      </c>
      <c r="F66" s="8" t="s">
        <v>1345</v>
      </c>
      <c r="G66" s="67" t="s">
        <v>1158</v>
      </c>
      <c r="H66" s="6" t="s">
        <v>1107</v>
      </c>
      <c r="I66" s="8" t="s">
        <v>1329</v>
      </c>
      <c r="J66" s="6" t="s">
        <v>1346</v>
      </c>
      <c r="K66" s="6" t="s">
        <v>1347</v>
      </c>
      <c r="L66" s="11"/>
      <c r="M66" s="6" t="s">
        <v>1340</v>
      </c>
      <c r="N66" s="6"/>
    </row>
    <row r="67" spans="1:17" s="6" customFormat="1" ht="247" hidden="1" x14ac:dyDescent="0.35">
      <c r="B67" s="7" t="s">
        <v>101</v>
      </c>
      <c r="C67" s="62" t="s">
        <v>545</v>
      </c>
      <c r="D67" s="8" t="s">
        <v>181</v>
      </c>
      <c r="E67" s="8" t="s">
        <v>1164</v>
      </c>
      <c r="F67" s="18" t="s">
        <v>182</v>
      </c>
      <c r="G67" s="67" t="s">
        <v>1158</v>
      </c>
      <c r="H67" s="6" t="s">
        <v>1107</v>
      </c>
      <c r="I67" s="8" t="s">
        <v>8</v>
      </c>
      <c r="J67" s="8" t="s">
        <v>26</v>
      </c>
      <c r="K67" s="8" t="s">
        <v>1231</v>
      </c>
      <c r="L67" s="11"/>
      <c r="M67" s="6" t="s">
        <v>1340</v>
      </c>
    </row>
    <row r="68" spans="1:17" s="6" customFormat="1" ht="52" hidden="1" x14ac:dyDescent="0.35">
      <c r="B68" s="7" t="s">
        <v>101</v>
      </c>
      <c r="C68" s="62" t="s">
        <v>545</v>
      </c>
      <c r="D68" s="8" t="s">
        <v>184</v>
      </c>
      <c r="E68" s="8" t="s">
        <v>1164</v>
      </c>
      <c r="F68" s="8" t="s">
        <v>185</v>
      </c>
      <c r="G68" s="67" t="s">
        <v>1158</v>
      </c>
      <c r="H68" s="8"/>
      <c r="I68" s="8" t="s">
        <v>6</v>
      </c>
      <c r="J68" s="8" t="s">
        <v>26</v>
      </c>
      <c r="K68" s="8" t="s">
        <v>1232</v>
      </c>
      <c r="L68" s="11"/>
      <c r="M68" s="6" t="s">
        <v>1340</v>
      </c>
      <c r="Q68" s="6" t="s">
        <v>553</v>
      </c>
    </row>
    <row r="69" spans="1:17" s="6" customFormat="1" ht="39" hidden="1" x14ac:dyDescent="0.35">
      <c r="B69" s="7" t="s">
        <v>101</v>
      </c>
      <c r="C69" s="62" t="s">
        <v>545</v>
      </c>
      <c r="D69" s="8" t="s">
        <v>187</v>
      </c>
      <c r="E69" s="8" t="s">
        <v>1164</v>
      </c>
      <c r="F69" s="8" t="s">
        <v>69</v>
      </c>
      <c r="G69" s="67" t="s">
        <v>1158</v>
      </c>
      <c r="H69" s="8"/>
      <c r="I69" s="8" t="s">
        <v>14</v>
      </c>
      <c r="J69" s="8" t="s">
        <v>26</v>
      </c>
      <c r="K69" s="8" t="s">
        <v>1233</v>
      </c>
      <c r="L69" s="11"/>
      <c r="M69" s="6" t="s">
        <v>1340</v>
      </c>
    </row>
    <row r="70" spans="1:17" s="6" customFormat="1" ht="52" hidden="1" x14ac:dyDescent="0.35">
      <c r="B70" s="7" t="s">
        <v>101</v>
      </c>
      <c r="C70" s="62" t="s">
        <v>545</v>
      </c>
      <c r="D70" s="8" t="s">
        <v>189</v>
      </c>
      <c r="E70" s="8" t="s">
        <v>1164</v>
      </c>
      <c r="F70" s="8" t="s">
        <v>190</v>
      </c>
      <c r="G70" s="67" t="s">
        <v>1158</v>
      </c>
      <c r="H70" s="8"/>
      <c r="I70" s="8" t="s">
        <v>14</v>
      </c>
      <c r="J70" s="8" t="s">
        <v>26</v>
      </c>
      <c r="K70" s="8" t="s">
        <v>1234</v>
      </c>
      <c r="L70" s="11"/>
      <c r="M70" s="6" t="s">
        <v>1340</v>
      </c>
    </row>
    <row r="71" spans="1:17" s="6" customFormat="1" ht="39" hidden="1" x14ac:dyDescent="0.35">
      <c r="B71" s="7" t="s">
        <v>101</v>
      </c>
      <c r="C71" s="62" t="s">
        <v>545</v>
      </c>
      <c r="D71" s="8" t="s">
        <v>192</v>
      </c>
      <c r="E71" s="8" t="s">
        <v>1164</v>
      </c>
      <c r="F71" s="8" t="s">
        <v>193</v>
      </c>
      <c r="G71" s="67" t="s">
        <v>1158</v>
      </c>
      <c r="H71" s="8"/>
      <c r="I71" s="8" t="s">
        <v>14</v>
      </c>
      <c r="J71" s="8" t="s">
        <v>26</v>
      </c>
      <c r="K71" s="8" t="s">
        <v>1235</v>
      </c>
      <c r="L71" s="11"/>
      <c r="M71" s="6" t="s">
        <v>1340</v>
      </c>
    </row>
    <row r="72" spans="1:17" s="6" customFormat="1" ht="39" hidden="1" x14ac:dyDescent="0.35">
      <c r="B72" s="7" t="s">
        <v>101</v>
      </c>
      <c r="C72" s="62" t="s">
        <v>545</v>
      </c>
      <c r="D72" s="8" t="s">
        <v>1236</v>
      </c>
      <c r="E72" s="8" t="s">
        <v>1164</v>
      </c>
      <c r="F72" s="8" t="s">
        <v>196</v>
      </c>
      <c r="G72" s="67" t="s">
        <v>1158</v>
      </c>
      <c r="H72" s="8"/>
      <c r="I72" s="8" t="s">
        <v>14</v>
      </c>
      <c r="J72" s="8" t="s">
        <v>26</v>
      </c>
      <c r="K72" s="8" t="s">
        <v>1237</v>
      </c>
      <c r="L72" s="11"/>
      <c r="M72" s="6" t="s">
        <v>1340</v>
      </c>
    </row>
    <row r="73" spans="1:17" s="6" customFormat="1" ht="39" hidden="1" x14ac:dyDescent="0.35">
      <c r="B73" s="7" t="s">
        <v>101</v>
      </c>
      <c r="C73" s="62" t="s">
        <v>545</v>
      </c>
      <c r="D73" s="8" t="s">
        <v>198</v>
      </c>
      <c r="E73" s="8" t="s">
        <v>1164</v>
      </c>
      <c r="F73" s="8" t="s">
        <v>199</v>
      </c>
      <c r="G73" s="67" t="s">
        <v>1158</v>
      </c>
      <c r="H73" s="6" t="s">
        <v>1107</v>
      </c>
      <c r="I73" s="8" t="s">
        <v>8</v>
      </c>
      <c r="J73" s="8" t="s">
        <v>26</v>
      </c>
      <c r="K73" s="8" t="s">
        <v>1238</v>
      </c>
      <c r="L73" s="11"/>
      <c r="M73" s="6" t="s">
        <v>1340</v>
      </c>
    </row>
    <row r="74" spans="1:17" s="6" customFormat="1" ht="195" x14ac:dyDescent="0.35">
      <c r="B74" s="7" t="s">
        <v>101</v>
      </c>
      <c r="C74" s="57" t="s">
        <v>545</v>
      </c>
      <c r="D74" s="6" t="s">
        <v>309</v>
      </c>
      <c r="E74" s="6" t="s">
        <v>1158</v>
      </c>
      <c r="F74" s="6" t="s">
        <v>1239</v>
      </c>
      <c r="G74" s="60" t="s">
        <v>1158</v>
      </c>
      <c r="I74" s="6" t="s">
        <v>1159</v>
      </c>
      <c r="J74" s="6" t="s">
        <v>1240</v>
      </c>
      <c r="K74" s="6" t="s">
        <v>1241</v>
      </c>
      <c r="M74" s="6" t="s">
        <v>1340</v>
      </c>
    </row>
    <row r="75" spans="1:17" s="9" customFormat="1" ht="104" x14ac:dyDescent="0.35">
      <c r="A75" s="6"/>
      <c r="B75" s="7" t="s">
        <v>101</v>
      </c>
      <c r="C75" s="62" t="s">
        <v>545</v>
      </c>
      <c r="D75" s="8" t="s">
        <v>311</v>
      </c>
      <c r="E75" s="8" t="s">
        <v>1158</v>
      </c>
      <c r="F75" s="8" t="s">
        <v>1242</v>
      </c>
      <c r="G75" s="67" t="s">
        <v>1158</v>
      </c>
      <c r="H75" s="8"/>
      <c r="I75" s="6" t="s">
        <v>1159</v>
      </c>
      <c r="J75" s="8" t="s">
        <v>1243</v>
      </c>
      <c r="K75" s="8" t="s">
        <v>1244</v>
      </c>
      <c r="L75" s="11"/>
      <c r="M75" s="6" t="s">
        <v>1340</v>
      </c>
      <c r="N75" s="6"/>
    </row>
    <row r="76" spans="1:17" s="9" customFormat="1" ht="117" x14ac:dyDescent="0.35">
      <c r="A76" s="6"/>
      <c r="B76" s="7" t="s">
        <v>101</v>
      </c>
      <c r="C76" s="62" t="s">
        <v>545</v>
      </c>
      <c r="D76" s="8" t="s">
        <v>313</v>
      </c>
      <c r="E76" s="8" t="s">
        <v>1158</v>
      </c>
      <c r="F76" s="8" t="s">
        <v>1245</v>
      </c>
      <c r="G76" s="67" t="s">
        <v>1158</v>
      </c>
      <c r="H76" s="8"/>
      <c r="I76" s="6" t="s">
        <v>1159</v>
      </c>
      <c r="J76" s="8" t="s">
        <v>1246</v>
      </c>
      <c r="K76" s="8" t="s">
        <v>1247</v>
      </c>
      <c r="L76" s="11"/>
      <c r="M76" s="6" t="s">
        <v>1340</v>
      </c>
      <c r="N76" s="6"/>
    </row>
    <row r="77" spans="1:17" s="9" customFormat="1" ht="169" x14ac:dyDescent="0.35">
      <c r="A77" s="6"/>
      <c r="B77" s="7" t="s">
        <v>101</v>
      </c>
      <c r="C77" s="62" t="s">
        <v>545</v>
      </c>
      <c r="D77" s="8" t="s">
        <v>315</v>
      </c>
      <c r="E77" s="8" t="s">
        <v>1158</v>
      </c>
      <c r="F77" s="8" t="s">
        <v>1248</v>
      </c>
      <c r="G77" s="67" t="s">
        <v>1158</v>
      </c>
      <c r="H77" s="8"/>
      <c r="I77" s="6" t="s">
        <v>1159</v>
      </c>
      <c r="J77" s="8" t="s">
        <v>1249</v>
      </c>
      <c r="K77" s="8" t="s">
        <v>1250</v>
      </c>
      <c r="L77" s="11"/>
      <c r="M77" s="6" t="s">
        <v>1340</v>
      </c>
      <c r="N77" s="6"/>
    </row>
    <row r="78" spans="1:17" s="6" customFormat="1" ht="156" x14ac:dyDescent="0.35">
      <c r="B78" s="7" t="s">
        <v>101</v>
      </c>
      <c r="C78" s="62" t="s">
        <v>545</v>
      </c>
      <c r="D78" s="8" t="s">
        <v>1251</v>
      </c>
      <c r="E78" s="8" t="s">
        <v>1158</v>
      </c>
      <c r="F78" s="8" t="s">
        <v>208</v>
      </c>
      <c r="G78" s="67" t="s">
        <v>1158</v>
      </c>
      <c r="H78" s="6" t="s">
        <v>1107</v>
      </c>
      <c r="I78" s="8" t="s">
        <v>47</v>
      </c>
      <c r="J78" s="8" t="s">
        <v>1252</v>
      </c>
      <c r="K78" s="8" t="s">
        <v>1253</v>
      </c>
      <c r="L78" s="11"/>
      <c r="M78" s="6" t="s">
        <v>1340</v>
      </c>
    </row>
    <row r="79" spans="1:17" s="6" customFormat="1" ht="156" x14ac:dyDescent="0.35">
      <c r="B79" s="7" t="s">
        <v>101</v>
      </c>
      <c r="C79" s="57" t="s">
        <v>545</v>
      </c>
      <c r="D79" s="6" t="s">
        <v>317</v>
      </c>
      <c r="E79" s="6" t="s">
        <v>1158</v>
      </c>
      <c r="F79" s="6" t="s">
        <v>1254</v>
      </c>
      <c r="G79" s="60" t="s">
        <v>1158</v>
      </c>
      <c r="I79" s="6" t="s">
        <v>1159</v>
      </c>
      <c r="J79" s="6" t="s">
        <v>1255</v>
      </c>
      <c r="K79" s="6" t="s">
        <v>1256</v>
      </c>
      <c r="M79" s="6" t="s">
        <v>1340</v>
      </c>
    </row>
    <row r="80" spans="1:17" s="9" customFormat="1" ht="143" x14ac:dyDescent="0.35">
      <c r="A80" s="6"/>
      <c r="B80" s="7" t="s">
        <v>101</v>
      </c>
      <c r="C80" s="62" t="s">
        <v>545</v>
      </c>
      <c r="D80" s="8" t="s">
        <v>319</v>
      </c>
      <c r="E80" s="8" t="s">
        <v>1158</v>
      </c>
      <c r="F80" s="8" t="s">
        <v>1257</v>
      </c>
      <c r="G80" s="67" t="s">
        <v>1158</v>
      </c>
      <c r="H80" s="8"/>
      <c r="I80" s="6" t="s">
        <v>1159</v>
      </c>
      <c r="J80" s="8" t="s">
        <v>1258</v>
      </c>
      <c r="K80" s="8" t="s">
        <v>1259</v>
      </c>
      <c r="L80" s="11"/>
      <c r="M80" s="6" t="s">
        <v>1340</v>
      </c>
      <c r="N80" s="6"/>
    </row>
    <row r="81" spans="1:14" s="9" customFormat="1" ht="169" x14ac:dyDescent="0.35">
      <c r="A81" s="6"/>
      <c r="B81" s="7" t="s">
        <v>101</v>
      </c>
      <c r="C81" s="62" t="s">
        <v>545</v>
      </c>
      <c r="D81" s="8" t="s">
        <v>321</v>
      </c>
      <c r="E81" s="8" t="s">
        <v>1158</v>
      </c>
      <c r="F81" s="8" t="s">
        <v>1260</v>
      </c>
      <c r="G81" s="67" t="s">
        <v>1158</v>
      </c>
      <c r="H81" s="8"/>
      <c r="I81" s="6" t="s">
        <v>1159</v>
      </c>
      <c r="J81" s="8" t="s">
        <v>1261</v>
      </c>
      <c r="K81" s="8" t="s">
        <v>1262</v>
      </c>
      <c r="L81" s="11"/>
      <c r="M81" s="6" t="s">
        <v>1340</v>
      </c>
      <c r="N81" s="6"/>
    </row>
    <row r="82" spans="1:14" s="9" customFormat="1" ht="143" x14ac:dyDescent="0.35">
      <c r="A82" s="6"/>
      <c r="B82" s="7" t="s">
        <v>101</v>
      </c>
      <c r="C82" s="62" t="s">
        <v>545</v>
      </c>
      <c r="D82" s="8" t="s">
        <v>323</v>
      </c>
      <c r="E82" s="8" t="s">
        <v>1158</v>
      </c>
      <c r="F82" s="8" t="s">
        <v>1263</v>
      </c>
      <c r="G82" s="67" t="s">
        <v>1158</v>
      </c>
      <c r="H82" s="8"/>
      <c r="I82" s="6" t="s">
        <v>1159</v>
      </c>
      <c r="J82" s="8" t="s">
        <v>1264</v>
      </c>
      <c r="K82" s="8" t="s">
        <v>1265</v>
      </c>
      <c r="L82" s="11"/>
      <c r="M82" s="6" t="s">
        <v>1340</v>
      </c>
      <c r="N82" s="6"/>
    </row>
    <row r="83" spans="1:14" s="9" customFormat="1" ht="221" x14ac:dyDescent="0.35">
      <c r="A83" s="6"/>
      <c r="B83" s="7" t="s">
        <v>101</v>
      </c>
      <c r="C83" s="62" t="s">
        <v>545</v>
      </c>
      <c r="D83" s="8" t="s">
        <v>1266</v>
      </c>
      <c r="E83" s="8" t="s">
        <v>1158</v>
      </c>
      <c r="F83" s="8" t="s">
        <v>1267</v>
      </c>
      <c r="G83" s="67" t="s">
        <v>1158</v>
      </c>
      <c r="H83" s="8"/>
      <c r="I83" s="6" t="s">
        <v>1159</v>
      </c>
      <c r="J83" s="8" t="s">
        <v>1268</v>
      </c>
      <c r="K83" s="8" t="s">
        <v>1269</v>
      </c>
      <c r="L83" s="11"/>
      <c r="M83" s="6" t="s">
        <v>1340</v>
      </c>
      <c r="N83" s="6"/>
    </row>
    <row r="84" spans="1:14" s="6" customFormat="1" ht="156" x14ac:dyDescent="0.35">
      <c r="B84" s="7" t="s">
        <v>101</v>
      </c>
      <c r="C84" s="57" t="s">
        <v>545</v>
      </c>
      <c r="D84" s="6" t="s">
        <v>327</v>
      </c>
      <c r="E84" s="6" t="s">
        <v>1158</v>
      </c>
      <c r="F84" s="6" t="s">
        <v>1270</v>
      </c>
      <c r="G84" s="60" t="s">
        <v>1158</v>
      </c>
      <c r="I84" s="6" t="s">
        <v>1159</v>
      </c>
      <c r="J84" s="6" t="s">
        <v>1271</v>
      </c>
      <c r="K84" s="6" t="s">
        <v>1272</v>
      </c>
      <c r="M84" s="6" t="s">
        <v>1340</v>
      </c>
    </row>
    <row r="85" spans="1:14" s="6" customFormat="1" ht="78" x14ac:dyDescent="0.35">
      <c r="B85" s="7" t="s">
        <v>101</v>
      </c>
      <c r="C85" s="62" t="s">
        <v>545</v>
      </c>
      <c r="D85" s="8" t="s">
        <v>213</v>
      </c>
      <c r="E85" s="8" t="s">
        <v>1158</v>
      </c>
      <c r="F85" s="8" t="s">
        <v>1273</v>
      </c>
      <c r="G85" s="67" t="s">
        <v>1158</v>
      </c>
      <c r="H85" s="6" t="s">
        <v>1107</v>
      </c>
      <c r="I85" s="8" t="s">
        <v>8</v>
      </c>
      <c r="J85" s="8" t="s">
        <v>1274</v>
      </c>
      <c r="K85" s="8" t="s">
        <v>1275</v>
      </c>
      <c r="L85" s="11"/>
      <c r="M85" s="6" t="s">
        <v>1340</v>
      </c>
    </row>
    <row r="86" spans="1:14" s="9" customFormat="1" ht="156" x14ac:dyDescent="0.35">
      <c r="A86" s="6"/>
      <c r="B86" s="7" t="s">
        <v>101</v>
      </c>
      <c r="C86" s="62" t="s">
        <v>545</v>
      </c>
      <c r="D86" s="8" t="s">
        <v>329</v>
      </c>
      <c r="E86" s="8" t="s">
        <v>1158</v>
      </c>
      <c r="F86" s="8" t="s">
        <v>1276</v>
      </c>
      <c r="G86" s="67" t="s">
        <v>1158</v>
      </c>
      <c r="H86" s="8"/>
      <c r="I86" s="6" t="s">
        <v>1159</v>
      </c>
      <c r="J86" s="8" t="s">
        <v>1277</v>
      </c>
      <c r="K86" s="8" t="s">
        <v>1278</v>
      </c>
      <c r="L86" s="11"/>
      <c r="M86" s="6" t="s">
        <v>1340</v>
      </c>
      <c r="N86" s="6"/>
    </row>
    <row r="87" spans="1:14" s="9" customFormat="1" ht="221" x14ac:dyDescent="0.35">
      <c r="A87" s="6"/>
      <c r="B87" s="7" t="s">
        <v>101</v>
      </c>
      <c r="C87" s="62" t="s">
        <v>545</v>
      </c>
      <c r="D87" s="8" t="s">
        <v>331</v>
      </c>
      <c r="E87" s="8" t="s">
        <v>1158</v>
      </c>
      <c r="F87" s="8" t="s">
        <v>1279</v>
      </c>
      <c r="G87" s="67" t="s">
        <v>1158</v>
      </c>
      <c r="H87" s="8"/>
      <c r="I87" s="6" t="s">
        <v>1159</v>
      </c>
      <c r="J87" s="8" t="s">
        <v>1280</v>
      </c>
      <c r="K87" s="8" t="s">
        <v>1281</v>
      </c>
      <c r="L87" s="11"/>
      <c r="M87" s="6" t="s">
        <v>1340</v>
      </c>
      <c r="N87" s="6"/>
    </row>
    <row r="88" spans="1:14" s="6" customFormat="1" ht="156" x14ac:dyDescent="0.35">
      <c r="B88" s="7" t="s">
        <v>101</v>
      </c>
      <c r="C88" s="57" t="s">
        <v>545</v>
      </c>
      <c r="D88" s="6" t="s">
        <v>333</v>
      </c>
      <c r="E88" s="6" t="s">
        <v>1158</v>
      </c>
      <c r="F88" s="6" t="s">
        <v>1282</v>
      </c>
      <c r="G88" s="60" t="s">
        <v>1158</v>
      </c>
      <c r="I88" s="6" t="s">
        <v>1159</v>
      </c>
      <c r="J88" s="6" t="s">
        <v>1283</v>
      </c>
      <c r="K88" s="6" t="s">
        <v>1284</v>
      </c>
      <c r="M88" s="6" t="s">
        <v>1340</v>
      </c>
    </row>
    <row r="89" spans="1:14" ht="130" x14ac:dyDescent="0.35">
      <c r="A89" s="6"/>
      <c r="B89" s="7" t="s">
        <v>101</v>
      </c>
      <c r="C89" s="57" t="s">
        <v>545</v>
      </c>
      <c r="D89" s="57" t="s">
        <v>545</v>
      </c>
      <c r="E89" s="6" t="s">
        <v>1158</v>
      </c>
      <c r="F89" s="6" t="s">
        <v>1348</v>
      </c>
      <c r="G89" s="60" t="s">
        <v>1158</v>
      </c>
      <c r="H89" s="6" t="s">
        <v>1107</v>
      </c>
      <c r="I89" s="8" t="s">
        <v>1329</v>
      </c>
      <c r="J89" s="6" t="s">
        <v>1349</v>
      </c>
      <c r="K89" s="6" t="s">
        <v>1350</v>
      </c>
      <c r="L89" s="6"/>
      <c r="M89" s="6" t="s">
        <v>1340</v>
      </c>
      <c r="N89" s="6"/>
    </row>
    <row r="90" spans="1:14" s="9" customFormat="1" ht="26" hidden="1" x14ac:dyDescent="0.35">
      <c r="A90" s="6"/>
      <c r="B90" s="7" t="s">
        <v>600</v>
      </c>
      <c r="C90" s="62"/>
      <c r="D90" s="8" t="s">
        <v>707</v>
      </c>
      <c r="E90" s="8" t="s">
        <v>1164</v>
      </c>
      <c r="F90" s="8" t="s">
        <v>1351</v>
      </c>
      <c r="G90" s="67" t="s">
        <v>1164</v>
      </c>
      <c r="H90" s="8" t="s">
        <v>359</v>
      </c>
      <c r="I90" s="8" t="s">
        <v>26</v>
      </c>
      <c r="J90" s="8" t="s">
        <v>26</v>
      </c>
      <c r="K90" s="8" t="s">
        <v>1285</v>
      </c>
      <c r="L90" s="11"/>
      <c r="M90" s="6" t="s">
        <v>1352</v>
      </c>
      <c r="N90" s="6"/>
    </row>
    <row r="91" spans="1:14" s="9" customFormat="1" ht="65" hidden="1" x14ac:dyDescent="0.35">
      <c r="A91" s="6"/>
      <c r="B91" s="7" t="s">
        <v>600</v>
      </c>
      <c r="C91" s="62"/>
      <c r="D91" s="8" t="s">
        <v>229</v>
      </c>
      <c r="E91" s="8" t="s">
        <v>1164</v>
      </c>
      <c r="F91" s="8" t="s">
        <v>1286</v>
      </c>
      <c r="G91" s="67" t="s">
        <v>1158</v>
      </c>
      <c r="H91" s="8"/>
      <c r="I91" s="6" t="s">
        <v>1159</v>
      </c>
      <c r="J91" s="8" t="s">
        <v>26</v>
      </c>
      <c r="K91" s="8" t="s">
        <v>1287</v>
      </c>
      <c r="L91" s="11"/>
      <c r="M91" s="6" t="s">
        <v>1352</v>
      </c>
      <c r="N91" s="6"/>
    </row>
    <row r="92" spans="1:14" s="6" customFormat="1" ht="39" hidden="1" x14ac:dyDescent="0.35">
      <c r="B92" s="7" t="s">
        <v>600</v>
      </c>
      <c r="C92" s="57"/>
      <c r="D92" s="6" t="s">
        <v>232</v>
      </c>
      <c r="E92" s="8" t="s">
        <v>1164</v>
      </c>
      <c r="F92" s="6" t="s">
        <v>233</v>
      </c>
      <c r="G92" s="60" t="s">
        <v>1158</v>
      </c>
      <c r="I92" s="6" t="s">
        <v>1159</v>
      </c>
      <c r="J92" s="8" t="s">
        <v>26</v>
      </c>
      <c r="K92" s="6" t="s">
        <v>1288</v>
      </c>
      <c r="M92" s="6" t="s">
        <v>1352</v>
      </c>
    </row>
    <row r="93" spans="1:14" s="9" customFormat="1" ht="39" hidden="1" x14ac:dyDescent="0.35">
      <c r="A93" s="6"/>
      <c r="B93" s="7" t="s">
        <v>600</v>
      </c>
      <c r="C93" s="62"/>
      <c r="D93" s="8" t="s">
        <v>237</v>
      </c>
      <c r="E93" s="8" t="s">
        <v>1164</v>
      </c>
      <c r="F93" s="8" t="s">
        <v>238</v>
      </c>
      <c r="G93" s="67" t="s">
        <v>1158</v>
      </c>
      <c r="H93" s="8"/>
      <c r="I93" s="6" t="s">
        <v>1159</v>
      </c>
      <c r="J93" s="8" t="s">
        <v>26</v>
      </c>
      <c r="K93" s="8" t="s">
        <v>1289</v>
      </c>
      <c r="L93" s="11"/>
      <c r="M93" s="6" t="s">
        <v>1352</v>
      </c>
      <c r="N93" s="6"/>
    </row>
    <row r="94" spans="1:14" s="9" customFormat="1" ht="52" hidden="1" x14ac:dyDescent="0.35">
      <c r="A94" s="6"/>
      <c r="B94" s="7" t="s">
        <v>600</v>
      </c>
      <c r="C94" s="62"/>
      <c r="D94" s="8" t="s">
        <v>240</v>
      </c>
      <c r="E94" s="8" t="s">
        <v>1164</v>
      </c>
      <c r="F94" s="8" t="s">
        <v>241</v>
      </c>
      <c r="G94" s="67" t="s">
        <v>1158</v>
      </c>
      <c r="H94" s="8"/>
      <c r="I94" s="6" t="s">
        <v>1159</v>
      </c>
      <c r="J94" s="8" t="s">
        <v>26</v>
      </c>
      <c r="K94" s="8" t="s">
        <v>1290</v>
      </c>
      <c r="L94" s="11"/>
      <c r="M94" s="6" t="s">
        <v>1352</v>
      </c>
      <c r="N94" s="6"/>
    </row>
    <row r="95" spans="1:14" ht="91" x14ac:dyDescent="0.35">
      <c r="A95" s="6"/>
      <c r="B95" s="7" t="s">
        <v>600</v>
      </c>
      <c r="C95" s="57"/>
      <c r="D95" s="6" t="s">
        <v>1353</v>
      </c>
      <c r="E95" s="6" t="s">
        <v>1158</v>
      </c>
      <c r="F95" s="6" t="s">
        <v>1354</v>
      </c>
      <c r="G95" s="60" t="s">
        <v>1158</v>
      </c>
      <c r="H95" s="6" t="s">
        <v>1107</v>
      </c>
      <c r="I95" s="8" t="s">
        <v>1329</v>
      </c>
      <c r="J95" s="6" t="s">
        <v>1355</v>
      </c>
      <c r="K95" s="6" t="s">
        <v>1356</v>
      </c>
      <c r="L95" s="6"/>
      <c r="M95" s="6" t="s">
        <v>1352</v>
      </c>
      <c r="N95" s="6"/>
    </row>
    <row r="96" spans="1:14" s="9" customFormat="1" ht="26" hidden="1" x14ac:dyDescent="0.35">
      <c r="A96" s="6"/>
      <c r="B96" s="7" t="s">
        <v>614</v>
      </c>
      <c r="C96" s="62"/>
      <c r="D96" s="8" t="s">
        <v>1357</v>
      </c>
      <c r="E96" s="8" t="s">
        <v>1164</v>
      </c>
      <c r="F96" s="8" t="s">
        <v>1358</v>
      </c>
      <c r="G96" s="67" t="s">
        <v>1164</v>
      </c>
      <c r="H96" s="8" t="s">
        <v>359</v>
      </c>
      <c r="I96" s="8" t="s">
        <v>26</v>
      </c>
      <c r="J96" s="8" t="s">
        <v>26</v>
      </c>
      <c r="K96" s="8" t="s">
        <v>1291</v>
      </c>
      <c r="L96" s="11"/>
      <c r="M96" s="6" t="s">
        <v>1359</v>
      </c>
      <c r="N96" s="6"/>
    </row>
    <row r="97" spans="1:14" s="9" customFormat="1" ht="39" hidden="1" x14ac:dyDescent="0.35">
      <c r="A97" s="6"/>
      <c r="B97" s="7" t="s">
        <v>614</v>
      </c>
      <c r="C97" s="62"/>
      <c r="D97" s="8" t="s">
        <v>217</v>
      </c>
      <c r="E97" s="8" t="s">
        <v>1164</v>
      </c>
      <c r="F97" s="8" t="s">
        <v>218</v>
      </c>
      <c r="G97" s="67" t="s">
        <v>1158</v>
      </c>
      <c r="H97" s="6" t="s">
        <v>1107</v>
      </c>
      <c r="I97" s="8" t="s">
        <v>219</v>
      </c>
      <c r="J97" s="8" t="s">
        <v>26</v>
      </c>
      <c r="K97" s="8" t="s">
        <v>1292</v>
      </c>
      <c r="L97" s="11"/>
      <c r="M97" s="6" t="s">
        <v>1359</v>
      </c>
      <c r="N97" s="6"/>
    </row>
    <row r="98" spans="1:14" s="9" customFormat="1" ht="104" hidden="1" x14ac:dyDescent="0.35">
      <c r="A98" s="6"/>
      <c r="B98" s="7" t="s">
        <v>614</v>
      </c>
      <c r="C98" s="62"/>
      <c r="D98" s="8" t="s">
        <v>221</v>
      </c>
      <c r="E98" s="8" t="s">
        <v>1164</v>
      </c>
      <c r="F98" s="8" t="s">
        <v>222</v>
      </c>
      <c r="G98" s="67" t="s">
        <v>1158</v>
      </c>
      <c r="H98" s="8"/>
      <c r="I98" s="8" t="s">
        <v>223</v>
      </c>
      <c r="J98" s="8" t="s">
        <v>26</v>
      </c>
      <c r="K98" s="8" t="s">
        <v>1293</v>
      </c>
      <c r="L98" s="11"/>
      <c r="M98" s="6" t="s">
        <v>1359</v>
      </c>
      <c r="N98" s="6"/>
    </row>
    <row r="99" spans="1:14" s="9" customFormat="1" ht="52" hidden="1" x14ac:dyDescent="0.35">
      <c r="A99" s="6"/>
      <c r="B99" s="7" t="s">
        <v>614</v>
      </c>
      <c r="C99" s="62"/>
      <c r="D99" s="8" t="s">
        <v>225</v>
      </c>
      <c r="E99" s="8" t="s">
        <v>1164</v>
      </c>
      <c r="F99" s="8" t="s">
        <v>226</v>
      </c>
      <c r="G99" s="67" t="s">
        <v>1158</v>
      </c>
      <c r="H99" s="6" t="s">
        <v>1107</v>
      </c>
      <c r="I99" s="8" t="s">
        <v>219</v>
      </c>
      <c r="J99" s="8" t="s">
        <v>26</v>
      </c>
      <c r="K99" s="8" t="s">
        <v>1294</v>
      </c>
      <c r="L99" s="11"/>
      <c r="M99" s="6" t="s">
        <v>1359</v>
      </c>
      <c r="N99" s="6"/>
    </row>
    <row r="100" spans="1:14" ht="104" x14ac:dyDescent="0.35">
      <c r="A100" s="6"/>
      <c r="B100" s="7" t="s">
        <v>614</v>
      </c>
      <c r="C100" s="57"/>
      <c r="D100" s="6" t="s">
        <v>297</v>
      </c>
      <c r="E100" s="6" t="s">
        <v>1158</v>
      </c>
      <c r="F100" s="6" t="s">
        <v>1360</v>
      </c>
      <c r="G100" s="60" t="s">
        <v>1158</v>
      </c>
      <c r="H100" s="6" t="s">
        <v>1107</v>
      </c>
      <c r="I100" s="8" t="s">
        <v>1329</v>
      </c>
      <c r="J100" s="6" t="s">
        <v>1361</v>
      </c>
      <c r="K100" s="6" t="s">
        <v>1362</v>
      </c>
      <c r="L100" s="6"/>
      <c r="M100" s="6" t="s">
        <v>1359</v>
      </c>
      <c r="N100" s="6"/>
    </row>
    <row r="101" spans="1:14" s="9" customFormat="1" ht="26" hidden="1" x14ac:dyDescent="0.35">
      <c r="A101" s="6"/>
      <c r="B101" s="7" t="s">
        <v>250</v>
      </c>
      <c r="C101" s="62"/>
      <c r="D101" s="8" t="s">
        <v>1363</v>
      </c>
      <c r="E101" s="8" t="s">
        <v>1164</v>
      </c>
      <c r="F101" s="8" t="s">
        <v>1364</v>
      </c>
      <c r="G101" s="67" t="s">
        <v>1164</v>
      </c>
      <c r="H101" s="8" t="s">
        <v>359</v>
      </c>
      <c r="I101" s="8" t="s">
        <v>26</v>
      </c>
      <c r="J101" s="8" t="s">
        <v>26</v>
      </c>
      <c r="K101" s="8" t="s">
        <v>1295</v>
      </c>
      <c r="L101" s="11"/>
      <c r="M101" s="6" t="s">
        <v>1365</v>
      </c>
      <c r="N101" s="6"/>
    </row>
    <row r="102" spans="1:14" s="9" customFormat="1" ht="52" hidden="1" x14ac:dyDescent="0.35">
      <c r="A102" s="6"/>
      <c r="B102" s="7" t="s">
        <v>250</v>
      </c>
      <c r="C102" s="62"/>
      <c r="D102" s="8" t="s">
        <v>251</v>
      </c>
      <c r="E102" s="8" t="s">
        <v>1164</v>
      </c>
      <c r="F102" s="8" t="s">
        <v>252</v>
      </c>
      <c r="G102" s="67" t="s">
        <v>1158</v>
      </c>
      <c r="H102" s="8"/>
      <c r="I102" s="6" t="s">
        <v>1159</v>
      </c>
      <c r="J102" s="8" t="s">
        <v>26</v>
      </c>
      <c r="K102" s="8" t="s">
        <v>1296</v>
      </c>
      <c r="L102" s="11"/>
      <c r="M102" s="6" t="s">
        <v>1365</v>
      </c>
      <c r="N102" s="6"/>
    </row>
    <row r="103" spans="1:14" s="9" customFormat="1" ht="52" hidden="1" x14ac:dyDescent="0.35">
      <c r="A103" s="6"/>
      <c r="B103" s="7" t="s">
        <v>250</v>
      </c>
      <c r="C103" s="62"/>
      <c r="D103" s="8" t="s">
        <v>254</v>
      </c>
      <c r="E103" s="8" t="s">
        <v>1164</v>
      </c>
      <c r="F103" s="8" t="s">
        <v>255</v>
      </c>
      <c r="G103" s="67" t="s">
        <v>1158</v>
      </c>
      <c r="H103" s="8"/>
      <c r="I103" s="6" t="s">
        <v>1159</v>
      </c>
      <c r="J103" s="8" t="s">
        <v>26</v>
      </c>
      <c r="K103" s="8" t="s">
        <v>1297</v>
      </c>
      <c r="L103" s="11"/>
      <c r="M103" s="6" t="s">
        <v>1365</v>
      </c>
      <c r="N103" s="6"/>
    </row>
    <row r="104" spans="1:14" ht="104" x14ac:dyDescent="0.35">
      <c r="A104" s="6"/>
      <c r="B104" s="7" t="s">
        <v>250</v>
      </c>
      <c r="C104" s="57"/>
      <c r="D104" s="6" t="s">
        <v>299</v>
      </c>
      <c r="E104" s="6" t="s">
        <v>1158</v>
      </c>
      <c r="F104" s="6" t="s">
        <v>1366</v>
      </c>
      <c r="G104" s="60" t="s">
        <v>1158</v>
      </c>
      <c r="H104" s="6" t="s">
        <v>1107</v>
      </c>
      <c r="I104" s="8" t="s">
        <v>1329</v>
      </c>
      <c r="J104" s="8" t="s">
        <v>1367</v>
      </c>
      <c r="K104" s="8" t="s">
        <v>1368</v>
      </c>
      <c r="L104" s="6"/>
      <c r="M104" s="6" t="s">
        <v>1365</v>
      </c>
      <c r="N104" s="6"/>
    </row>
    <row r="105" spans="1:14" s="9" customFormat="1" ht="26" hidden="1" x14ac:dyDescent="0.35">
      <c r="A105" s="6"/>
      <c r="B105" s="7" t="s">
        <v>243</v>
      </c>
      <c r="C105" s="62"/>
      <c r="D105" s="8" t="s">
        <v>821</v>
      </c>
      <c r="E105" s="8" t="s">
        <v>1164</v>
      </c>
      <c r="F105" s="8" t="s">
        <v>1369</v>
      </c>
      <c r="G105" s="67" t="s">
        <v>1164</v>
      </c>
      <c r="H105" s="8" t="s">
        <v>359</v>
      </c>
      <c r="I105" s="8" t="s">
        <v>26</v>
      </c>
      <c r="J105" s="8" t="s">
        <v>26</v>
      </c>
      <c r="K105" s="8" t="s">
        <v>1298</v>
      </c>
      <c r="L105" s="11"/>
      <c r="M105" s="6" t="s">
        <v>1370</v>
      </c>
      <c r="N105" s="6"/>
    </row>
    <row r="106" spans="1:14" s="9" customFormat="1" ht="39" hidden="1" x14ac:dyDescent="0.35">
      <c r="A106" s="6"/>
      <c r="B106" s="7" t="s">
        <v>243</v>
      </c>
      <c r="C106" s="62"/>
      <c r="D106" s="8" t="s">
        <v>244</v>
      </c>
      <c r="E106" s="8" t="s">
        <v>1164</v>
      </c>
      <c r="F106" s="8" t="s">
        <v>245</v>
      </c>
      <c r="G106" s="67" t="s">
        <v>1158</v>
      </c>
      <c r="H106" s="8"/>
      <c r="I106" s="6" t="s">
        <v>1159</v>
      </c>
      <c r="J106" s="8" t="s">
        <v>26</v>
      </c>
      <c r="K106" s="8" t="s">
        <v>1299</v>
      </c>
      <c r="L106" s="11"/>
      <c r="M106" s="6" t="s">
        <v>1370</v>
      </c>
      <c r="N106" s="6"/>
    </row>
    <row r="107" spans="1:14" s="9" customFormat="1" ht="39" hidden="1" x14ac:dyDescent="0.35">
      <c r="A107" s="6"/>
      <c r="B107" s="7" t="s">
        <v>243</v>
      </c>
      <c r="C107" s="62"/>
      <c r="D107" s="8" t="s">
        <v>1300</v>
      </c>
      <c r="E107" s="8" t="s">
        <v>1164</v>
      </c>
      <c r="F107" s="8" t="s">
        <v>248</v>
      </c>
      <c r="G107" s="67" t="s">
        <v>1158</v>
      </c>
      <c r="H107" s="8"/>
      <c r="I107" s="6" t="s">
        <v>1159</v>
      </c>
      <c r="J107" s="8" t="s">
        <v>26</v>
      </c>
      <c r="K107" s="8" t="s">
        <v>1301</v>
      </c>
      <c r="L107" s="11"/>
      <c r="M107" s="6" t="s">
        <v>1370</v>
      </c>
      <c r="N107" s="6"/>
    </row>
    <row r="108" spans="1:14" ht="91" x14ac:dyDescent="0.35">
      <c r="A108" s="6"/>
      <c r="B108" s="7" t="s">
        <v>243</v>
      </c>
      <c r="C108" s="57"/>
      <c r="D108" s="6" t="s">
        <v>1371</v>
      </c>
      <c r="E108" s="6" t="s">
        <v>1158</v>
      </c>
      <c r="F108" s="6" t="s">
        <v>1372</v>
      </c>
      <c r="G108" s="60" t="s">
        <v>1158</v>
      </c>
      <c r="H108" s="6" t="s">
        <v>1107</v>
      </c>
      <c r="I108" s="8" t="s">
        <v>1329</v>
      </c>
      <c r="J108" s="8" t="s">
        <v>1373</v>
      </c>
      <c r="K108" s="8" t="s">
        <v>1374</v>
      </c>
      <c r="L108" s="6"/>
      <c r="M108" s="6" t="s">
        <v>1370</v>
      </c>
      <c r="N108" s="6"/>
    </row>
    <row r="109" spans="1:14" s="9" customFormat="1" ht="26" hidden="1" x14ac:dyDescent="0.35">
      <c r="A109" s="6"/>
      <c r="B109" s="63" t="s">
        <v>257</v>
      </c>
      <c r="C109" s="64"/>
      <c r="D109" s="65" t="s">
        <v>1375</v>
      </c>
      <c r="E109" s="8" t="s">
        <v>1164</v>
      </c>
      <c r="F109" s="65" t="s">
        <v>1376</v>
      </c>
      <c r="G109" s="67" t="s">
        <v>1164</v>
      </c>
      <c r="H109" s="65" t="s">
        <v>359</v>
      </c>
      <c r="I109" s="65" t="s">
        <v>26</v>
      </c>
      <c r="J109" s="65" t="s">
        <v>26</v>
      </c>
      <c r="K109" s="65" t="s">
        <v>1302</v>
      </c>
      <c r="L109" s="66"/>
      <c r="M109" s="6" t="s">
        <v>1377</v>
      </c>
      <c r="N109" s="6"/>
    </row>
    <row r="110" spans="1:14" s="6" customFormat="1" ht="65" hidden="1" x14ac:dyDescent="0.35">
      <c r="B110" s="7" t="s">
        <v>257</v>
      </c>
      <c r="C110" s="62"/>
      <c r="D110" s="8" t="s">
        <v>258</v>
      </c>
      <c r="E110" s="8" t="s">
        <v>1164</v>
      </c>
      <c r="F110" s="6" t="s">
        <v>259</v>
      </c>
      <c r="G110" s="60" t="s">
        <v>1158</v>
      </c>
      <c r="H110" s="6" t="s">
        <v>1378</v>
      </c>
      <c r="I110" s="8" t="s">
        <v>260</v>
      </c>
      <c r="J110" s="65" t="s">
        <v>26</v>
      </c>
      <c r="K110" s="8" t="s">
        <v>1303</v>
      </c>
      <c r="L110" s="11"/>
      <c r="M110" s="6" t="s">
        <v>1377</v>
      </c>
    </row>
    <row r="111" spans="1:14" s="6" customFormat="1" ht="106.9" hidden="1" customHeight="1" x14ac:dyDescent="0.35">
      <c r="B111" s="7" t="s">
        <v>257</v>
      </c>
      <c r="C111" s="62"/>
      <c r="D111" s="8" t="s">
        <v>262</v>
      </c>
      <c r="E111" s="8" t="s">
        <v>1164</v>
      </c>
      <c r="F111" s="6" t="s">
        <v>263</v>
      </c>
      <c r="G111" s="60" t="s">
        <v>1158</v>
      </c>
      <c r="H111" s="6" t="s">
        <v>1378</v>
      </c>
      <c r="I111" s="8" t="s">
        <v>260</v>
      </c>
      <c r="J111" s="65" t="s">
        <v>26</v>
      </c>
      <c r="K111" s="8" t="s">
        <v>1304</v>
      </c>
      <c r="L111" s="11"/>
      <c r="M111" s="6" t="s">
        <v>1377</v>
      </c>
    </row>
    <row r="112" spans="1:14" s="6" customFormat="1" ht="106.9" hidden="1" customHeight="1" x14ac:dyDescent="0.35">
      <c r="B112" s="7" t="s">
        <v>257</v>
      </c>
      <c r="C112" s="62"/>
      <c r="D112" s="8" t="s">
        <v>265</v>
      </c>
      <c r="E112" s="8" t="s">
        <v>1164</v>
      </c>
      <c r="F112" s="6" t="s">
        <v>266</v>
      </c>
      <c r="G112" s="60" t="s">
        <v>1158</v>
      </c>
      <c r="H112" s="6" t="s">
        <v>1378</v>
      </c>
      <c r="I112" s="8" t="s">
        <v>260</v>
      </c>
      <c r="J112" s="65" t="s">
        <v>26</v>
      </c>
      <c r="K112" s="8" t="s">
        <v>1305</v>
      </c>
      <c r="L112" s="11"/>
      <c r="M112" s="6" t="s">
        <v>1377</v>
      </c>
    </row>
    <row r="113" spans="1:14" s="6" customFormat="1" ht="106.9" hidden="1" customHeight="1" x14ac:dyDescent="0.35">
      <c r="B113" s="7" t="s">
        <v>257</v>
      </c>
      <c r="C113" s="62"/>
      <c r="D113" s="8" t="s">
        <v>268</v>
      </c>
      <c r="E113" s="8" t="s">
        <v>1164</v>
      </c>
      <c r="F113" s="6" t="s">
        <v>269</v>
      </c>
      <c r="G113" s="60" t="s">
        <v>1158</v>
      </c>
      <c r="H113" s="6" t="s">
        <v>1378</v>
      </c>
      <c r="I113" s="8" t="s">
        <v>260</v>
      </c>
      <c r="J113" s="65" t="s">
        <v>26</v>
      </c>
      <c r="K113" s="8" t="s">
        <v>1306</v>
      </c>
      <c r="L113" s="11"/>
      <c r="M113" s="6" t="s">
        <v>1377</v>
      </c>
    </row>
    <row r="114" spans="1:14" s="6" customFormat="1" ht="106.9" hidden="1" customHeight="1" x14ac:dyDescent="0.35">
      <c r="B114" s="7" t="s">
        <v>257</v>
      </c>
      <c r="C114" s="62"/>
      <c r="D114" s="8" t="s">
        <v>271</v>
      </c>
      <c r="E114" s="8" t="s">
        <v>1164</v>
      </c>
      <c r="F114" s="6" t="s">
        <v>272</v>
      </c>
      <c r="G114" s="60" t="s">
        <v>1158</v>
      </c>
      <c r="H114" s="6" t="s">
        <v>1378</v>
      </c>
      <c r="I114" s="8" t="s">
        <v>260</v>
      </c>
      <c r="J114" s="65" t="s">
        <v>26</v>
      </c>
      <c r="K114" s="8" t="s">
        <v>1307</v>
      </c>
      <c r="L114" s="11"/>
      <c r="M114" s="6" t="s">
        <v>1377</v>
      </c>
    </row>
    <row r="115" spans="1:14" s="6" customFormat="1" ht="106.9" hidden="1" customHeight="1" x14ac:dyDescent="0.35">
      <c r="B115" s="7" t="s">
        <v>257</v>
      </c>
      <c r="C115" s="62"/>
      <c r="D115" s="8" t="s">
        <v>274</v>
      </c>
      <c r="E115" s="8" t="s">
        <v>1164</v>
      </c>
      <c r="F115" s="6" t="s">
        <v>275</v>
      </c>
      <c r="G115" s="60" t="s">
        <v>1158</v>
      </c>
      <c r="H115" s="6" t="s">
        <v>1378</v>
      </c>
      <c r="I115" s="8" t="s">
        <v>260</v>
      </c>
      <c r="J115" s="65" t="s">
        <v>26</v>
      </c>
      <c r="K115" s="8" t="s">
        <v>1308</v>
      </c>
      <c r="L115" s="11"/>
      <c r="M115" s="6" t="s">
        <v>1377</v>
      </c>
    </row>
    <row r="116" spans="1:14" s="6" customFormat="1" ht="106.9" hidden="1" customHeight="1" x14ac:dyDescent="0.35">
      <c r="B116" s="7" t="s">
        <v>257</v>
      </c>
      <c r="C116" s="62"/>
      <c r="D116" s="8" t="s">
        <v>277</v>
      </c>
      <c r="E116" s="8" t="s">
        <v>1164</v>
      </c>
      <c r="F116" s="76" t="s">
        <v>278</v>
      </c>
      <c r="G116" s="60" t="s">
        <v>1158</v>
      </c>
      <c r="H116" s="6" t="s">
        <v>1378</v>
      </c>
      <c r="I116" s="8" t="s">
        <v>260</v>
      </c>
      <c r="J116" s="65" t="s">
        <v>26</v>
      </c>
      <c r="K116" s="8" t="s">
        <v>1309</v>
      </c>
      <c r="L116" s="11"/>
      <c r="M116" s="6" t="s">
        <v>1377</v>
      </c>
    </row>
    <row r="117" spans="1:14" s="6" customFormat="1" ht="106.9" hidden="1" customHeight="1" x14ac:dyDescent="0.35">
      <c r="B117" s="7" t="s">
        <v>257</v>
      </c>
      <c r="C117" s="62"/>
      <c r="D117" s="8" t="s">
        <v>280</v>
      </c>
      <c r="E117" s="8" t="s">
        <v>1164</v>
      </c>
      <c r="F117" s="76" t="s">
        <v>281</v>
      </c>
      <c r="G117" s="60" t="s">
        <v>1158</v>
      </c>
      <c r="H117" s="6" t="s">
        <v>1378</v>
      </c>
      <c r="I117" s="8" t="s">
        <v>260</v>
      </c>
      <c r="J117" s="65" t="s">
        <v>26</v>
      </c>
      <c r="K117" s="8" t="s">
        <v>1310</v>
      </c>
      <c r="L117" s="11"/>
      <c r="M117" s="6" t="s">
        <v>1377</v>
      </c>
    </row>
    <row r="118" spans="1:14" s="6" customFormat="1" ht="106.9" hidden="1" customHeight="1" x14ac:dyDescent="0.35">
      <c r="B118" s="7" t="s">
        <v>257</v>
      </c>
      <c r="C118" s="62"/>
      <c r="D118" s="8" t="s">
        <v>283</v>
      </c>
      <c r="E118" s="8" t="s">
        <v>1164</v>
      </c>
      <c r="F118" s="6" t="s">
        <v>284</v>
      </c>
      <c r="G118" s="60" t="s">
        <v>1158</v>
      </c>
      <c r="H118" s="6" t="s">
        <v>1378</v>
      </c>
      <c r="I118" s="8" t="s">
        <v>260</v>
      </c>
      <c r="J118" s="65" t="s">
        <v>26</v>
      </c>
      <c r="K118" s="8" t="s">
        <v>1311</v>
      </c>
      <c r="L118" s="11"/>
      <c r="M118" s="6" t="s">
        <v>1377</v>
      </c>
    </row>
    <row r="119" spans="1:14" s="6" customFormat="1" ht="106.9" hidden="1" customHeight="1" x14ac:dyDescent="0.35">
      <c r="B119" s="7" t="s">
        <v>257</v>
      </c>
      <c r="C119" s="62"/>
      <c r="D119" s="8" t="s">
        <v>286</v>
      </c>
      <c r="E119" s="8" t="s">
        <v>1164</v>
      </c>
      <c r="F119" s="6" t="s">
        <v>287</v>
      </c>
      <c r="G119" s="60" t="s">
        <v>1158</v>
      </c>
      <c r="H119" s="6" t="s">
        <v>1378</v>
      </c>
      <c r="I119" s="8" t="s">
        <v>260</v>
      </c>
      <c r="J119" s="65" t="s">
        <v>26</v>
      </c>
      <c r="K119" s="8" t="s">
        <v>1312</v>
      </c>
      <c r="L119" s="11"/>
      <c r="M119" s="6" t="s">
        <v>1377</v>
      </c>
    </row>
    <row r="120" spans="1:14" s="6" customFormat="1" ht="106.9" hidden="1" customHeight="1" x14ac:dyDescent="0.35">
      <c r="B120" s="7" t="s">
        <v>257</v>
      </c>
      <c r="C120" s="62"/>
      <c r="D120" s="8" t="s">
        <v>289</v>
      </c>
      <c r="E120" s="8" t="s">
        <v>1164</v>
      </c>
      <c r="F120" s="6" t="s">
        <v>290</v>
      </c>
      <c r="G120" s="60" t="s">
        <v>1158</v>
      </c>
      <c r="H120" s="6" t="s">
        <v>1378</v>
      </c>
      <c r="I120" s="8" t="s">
        <v>7</v>
      </c>
      <c r="J120" s="65" t="s">
        <v>26</v>
      </c>
      <c r="K120" s="8" t="s">
        <v>1313</v>
      </c>
      <c r="L120" s="11"/>
      <c r="M120" s="6" t="s">
        <v>1377</v>
      </c>
    </row>
    <row r="121" spans="1:14" s="6" customFormat="1" ht="106.9" hidden="1" customHeight="1" x14ac:dyDescent="0.35">
      <c r="B121" s="7" t="s">
        <v>257</v>
      </c>
      <c r="C121" s="62"/>
      <c r="D121" s="8" t="s">
        <v>292</v>
      </c>
      <c r="E121" s="8" t="s">
        <v>1164</v>
      </c>
      <c r="F121" s="76" t="s">
        <v>278</v>
      </c>
      <c r="G121" s="60" t="s">
        <v>1158</v>
      </c>
      <c r="H121" s="6" t="s">
        <v>1378</v>
      </c>
      <c r="I121" s="8" t="s">
        <v>7</v>
      </c>
      <c r="J121" s="65" t="s">
        <v>26</v>
      </c>
      <c r="K121" s="8" t="s">
        <v>1314</v>
      </c>
      <c r="L121" s="11"/>
      <c r="M121" s="6" t="s">
        <v>1377</v>
      </c>
    </row>
    <row r="122" spans="1:14" s="6" customFormat="1" ht="106.9" hidden="1" customHeight="1" x14ac:dyDescent="0.35">
      <c r="B122" s="7" t="s">
        <v>257</v>
      </c>
      <c r="C122" s="62"/>
      <c r="D122" s="8" t="s">
        <v>294</v>
      </c>
      <c r="E122" s="8" t="s">
        <v>1164</v>
      </c>
      <c r="F122" s="6" t="s">
        <v>295</v>
      </c>
      <c r="G122" s="60" t="s">
        <v>1158</v>
      </c>
      <c r="H122" s="6" t="s">
        <v>1378</v>
      </c>
      <c r="I122" s="8" t="s">
        <v>7</v>
      </c>
      <c r="J122" s="65" t="s">
        <v>26</v>
      </c>
      <c r="K122" s="8" t="s">
        <v>1315</v>
      </c>
      <c r="L122" s="11"/>
      <c r="M122" s="6" t="s">
        <v>1377</v>
      </c>
    </row>
    <row r="123" spans="1:14" ht="91" x14ac:dyDescent="0.35">
      <c r="A123" s="6"/>
      <c r="B123" s="7" t="s">
        <v>257</v>
      </c>
      <c r="C123" s="57"/>
      <c r="D123" s="6" t="s">
        <v>301</v>
      </c>
      <c r="E123" s="6" t="s">
        <v>1158</v>
      </c>
      <c r="F123" s="6" t="s">
        <v>1379</v>
      </c>
      <c r="G123" s="60" t="s">
        <v>1158</v>
      </c>
      <c r="H123" s="6" t="s">
        <v>1378</v>
      </c>
      <c r="I123" s="8" t="s">
        <v>1380</v>
      </c>
      <c r="J123" s="8" t="s">
        <v>1381</v>
      </c>
      <c r="K123" s="8" t="s">
        <v>1382</v>
      </c>
      <c r="L123" s="6"/>
      <c r="M123" s="6" t="s">
        <v>1377</v>
      </c>
      <c r="N123" s="6"/>
    </row>
    <row r="124" spans="1:14" ht="91" x14ac:dyDescent="0.35">
      <c r="A124" s="6"/>
      <c r="B124" s="29" t="s">
        <v>1316</v>
      </c>
      <c r="C124" s="57"/>
      <c r="D124" s="6" t="s">
        <v>379</v>
      </c>
      <c r="E124" s="6" t="s">
        <v>1158</v>
      </c>
      <c r="F124" s="6" t="s">
        <v>1317</v>
      </c>
      <c r="G124" s="60" t="s">
        <v>1158</v>
      </c>
      <c r="H124" s="6" t="s">
        <v>350</v>
      </c>
      <c r="I124" s="6"/>
      <c r="J124" s="6" t="s">
        <v>1318</v>
      </c>
      <c r="K124" s="6" t="s">
        <v>1319</v>
      </c>
      <c r="L124" s="6"/>
      <c r="M124" s="6"/>
      <c r="N124" s="6"/>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5B40-71DB-4D8A-B348-FDAEB6D1CA4E}">
  <dimension ref="A1:Q101"/>
  <sheetViews>
    <sheetView topLeftCell="G76" zoomScale="83" zoomScaleNormal="82" workbookViewId="0">
      <selection activeCell="J102" sqref="J102"/>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hidden="1" customWidth="1"/>
    <col min="6" max="6" width="42.1796875" style="6" customWidth="1"/>
    <col min="7" max="7" width="13.7265625" style="9" customWidth="1"/>
    <col min="8" max="8" width="15.7265625" style="9" customWidth="1"/>
    <col min="9" max="9" width="29.54296875" style="9" customWidth="1"/>
    <col min="10" max="10" width="56.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2</v>
      </c>
      <c r="E1" s="1" t="s">
        <v>1154</v>
      </c>
      <c r="F1" s="1" t="s">
        <v>1155</v>
      </c>
      <c r="G1" s="1" t="s">
        <v>1156</v>
      </c>
      <c r="H1" s="2" t="s">
        <v>1085</v>
      </c>
      <c r="I1" s="2" t="s">
        <v>1157</v>
      </c>
      <c r="J1" s="3" t="s">
        <v>1086</v>
      </c>
      <c r="K1" s="4" t="s">
        <v>676</v>
      </c>
      <c r="L1" s="1" t="s">
        <v>345</v>
      </c>
      <c r="M1" s="3" t="s">
        <v>346</v>
      </c>
      <c r="N1" s="5" t="s">
        <v>347</v>
      </c>
    </row>
    <row r="2" spans="1:14" s="9" customFormat="1" ht="26" hidden="1" x14ac:dyDescent="0.35">
      <c r="B2" s="7" t="s">
        <v>19</v>
      </c>
      <c r="C2" s="10"/>
      <c r="D2" s="8" t="s">
        <v>20</v>
      </c>
      <c r="E2" s="8" t="s">
        <v>1158</v>
      </c>
      <c r="F2" s="8" t="s">
        <v>22</v>
      </c>
      <c r="G2" s="8" t="s">
        <v>1158</v>
      </c>
      <c r="H2" s="8"/>
      <c r="I2" s="8" t="s">
        <v>23</v>
      </c>
      <c r="J2" s="8" t="s">
        <v>1383</v>
      </c>
      <c r="K2" s="8" t="s">
        <v>1173</v>
      </c>
      <c r="L2" s="11"/>
      <c r="M2" s="6"/>
      <c r="N2" s="6"/>
    </row>
    <row r="3" spans="1:14" s="9" customFormat="1" ht="28.15" hidden="1" customHeight="1" x14ac:dyDescent="0.35">
      <c r="B3" s="7" t="s">
        <v>19</v>
      </c>
      <c r="C3" s="10"/>
      <c r="D3" s="8" t="s">
        <v>1034</v>
      </c>
      <c r="E3" s="8" t="s">
        <v>1158</v>
      </c>
      <c r="F3" s="8" t="s">
        <v>29</v>
      </c>
      <c r="G3" s="8" t="s">
        <v>1158</v>
      </c>
      <c r="H3" s="8"/>
      <c r="I3" s="8" t="s">
        <v>30</v>
      </c>
      <c r="J3" s="8" t="s">
        <v>1384</v>
      </c>
      <c r="K3" s="8" t="s">
        <v>1174</v>
      </c>
      <c r="L3" s="11"/>
      <c r="M3" s="6"/>
      <c r="N3" s="6"/>
    </row>
    <row r="4" spans="1:14" s="9" customFormat="1" ht="52" hidden="1" x14ac:dyDescent="0.35">
      <c r="B4" s="7" t="s">
        <v>19</v>
      </c>
      <c r="C4" s="10"/>
      <c r="D4" s="8" t="s">
        <v>1175</v>
      </c>
      <c r="E4" s="8" t="s">
        <v>1158</v>
      </c>
      <c r="F4" s="8" t="s">
        <v>35</v>
      </c>
      <c r="G4" s="8" t="s">
        <v>1158</v>
      </c>
      <c r="H4" s="8"/>
      <c r="I4" s="8" t="s">
        <v>36</v>
      </c>
      <c r="J4" s="8" t="s">
        <v>37</v>
      </c>
      <c r="K4" s="8" t="s">
        <v>1176</v>
      </c>
      <c r="L4" s="11"/>
      <c r="M4" s="6"/>
      <c r="N4" s="6"/>
    </row>
    <row r="5" spans="1:14" s="9" customFormat="1" ht="52" hidden="1" x14ac:dyDescent="0.35">
      <c r="B5" s="7" t="s">
        <v>19</v>
      </c>
      <c r="C5" s="10"/>
      <c r="D5" s="8" t="s">
        <v>38</v>
      </c>
      <c r="E5" s="8" t="s">
        <v>1158</v>
      </c>
      <c r="F5" s="8" t="s">
        <v>40</v>
      </c>
      <c r="G5" s="8" t="s">
        <v>1158</v>
      </c>
      <c r="H5" s="8"/>
      <c r="I5" s="8" t="s">
        <v>41</v>
      </c>
      <c r="J5" s="8" t="s">
        <v>43</v>
      </c>
      <c r="K5" s="8" t="s">
        <v>1177</v>
      </c>
      <c r="L5" s="11"/>
      <c r="M5" s="6"/>
      <c r="N5" s="6"/>
    </row>
    <row r="6" spans="1:14" s="9" customFormat="1" ht="39" hidden="1" x14ac:dyDescent="0.35">
      <c r="B6" s="7" t="s">
        <v>19</v>
      </c>
      <c r="C6" s="10"/>
      <c r="D6" s="8" t="s">
        <v>44</v>
      </c>
      <c r="E6" s="8" t="s">
        <v>1158</v>
      </c>
      <c r="F6" s="8" t="s">
        <v>46</v>
      </c>
      <c r="G6" s="8" t="s">
        <v>1158</v>
      </c>
      <c r="H6" s="8"/>
      <c r="I6" s="8" t="s">
        <v>47</v>
      </c>
      <c r="J6" s="8" t="s">
        <v>48</v>
      </c>
      <c r="K6" s="8" t="s">
        <v>1178</v>
      </c>
      <c r="L6" s="11"/>
      <c r="M6" s="6"/>
      <c r="N6" s="6"/>
    </row>
    <row r="7" spans="1:14" s="9" customFormat="1" ht="39" hidden="1" x14ac:dyDescent="0.35">
      <c r="B7" s="7" t="s">
        <v>19</v>
      </c>
      <c r="C7" s="10"/>
      <c r="D7" s="8" t="s">
        <v>49</v>
      </c>
      <c r="E7" s="8" t="s">
        <v>1158</v>
      </c>
      <c r="F7" s="8" t="s">
        <v>50</v>
      </c>
      <c r="G7" s="8" t="s">
        <v>1158</v>
      </c>
      <c r="H7" s="8"/>
      <c r="I7" s="8" t="s">
        <v>51</v>
      </c>
      <c r="J7" s="8" t="s">
        <v>1385</v>
      </c>
      <c r="K7" s="8" t="s">
        <v>1179</v>
      </c>
      <c r="L7" s="11"/>
      <c r="M7" s="6"/>
      <c r="N7" s="6"/>
    </row>
    <row r="8" spans="1:14" s="9" customFormat="1" ht="26" hidden="1" x14ac:dyDescent="0.35">
      <c r="B8" s="7" t="s">
        <v>19</v>
      </c>
      <c r="C8" s="10"/>
      <c r="D8" s="8" t="s">
        <v>53</v>
      </c>
      <c r="E8" s="8" t="s">
        <v>1158</v>
      </c>
      <c r="F8" s="8" t="s">
        <v>54</v>
      </c>
      <c r="G8" s="8" t="s">
        <v>1158</v>
      </c>
      <c r="H8" s="8"/>
      <c r="I8" s="8" t="s">
        <v>47</v>
      </c>
      <c r="J8" s="8" t="s">
        <v>1386</v>
      </c>
      <c r="K8" s="8" t="s">
        <v>1180</v>
      </c>
      <c r="L8" s="11"/>
      <c r="M8" s="6"/>
      <c r="N8" s="6"/>
    </row>
    <row r="9" spans="1:14" s="9" customFormat="1" ht="39" hidden="1" x14ac:dyDescent="0.35">
      <c r="B9" s="7" t="s">
        <v>19</v>
      </c>
      <c r="C9" s="10"/>
      <c r="D9" s="8" t="s">
        <v>56</v>
      </c>
      <c r="E9" s="8" t="s">
        <v>1158</v>
      </c>
      <c r="F9" s="8" t="s">
        <v>57</v>
      </c>
      <c r="G9" s="8" t="s">
        <v>1158</v>
      </c>
      <c r="H9" s="8"/>
      <c r="I9" s="8" t="s">
        <v>47</v>
      </c>
      <c r="J9" s="8" t="s">
        <v>1387</v>
      </c>
      <c r="K9" s="8" t="s">
        <v>1181</v>
      </c>
      <c r="L9" s="11"/>
      <c r="M9" s="6"/>
      <c r="N9" s="6"/>
    </row>
    <row r="10" spans="1:14" s="9" customFormat="1" ht="26" hidden="1" x14ac:dyDescent="0.35">
      <c r="B10" s="7" t="s">
        <v>19</v>
      </c>
      <c r="C10" s="10"/>
      <c r="D10" s="8" t="s">
        <v>59</v>
      </c>
      <c r="E10" s="8" t="s">
        <v>1158</v>
      </c>
      <c r="F10" s="8" t="s">
        <v>60</v>
      </c>
      <c r="G10" s="8" t="s">
        <v>1158</v>
      </c>
      <c r="H10" s="8"/>
      <c r="I10" s="8" t="s">
        <v>47</v>
      </c>
      <c r="J10" s="8" t="s">
        <v>1388</v>
      </c>
      <c r="K10" s="8" t="s">
        <v>1182</v>
      </c>
      <c r="L10" s="11"/>
      <c r="M10" s="6"/>
      <c r="N10" s="6"/>
    </row>
    <row r="11" spans="1:14" s="9" customFormat="1" ht="26" hidden="1" x14ac:dyDescent="0.35">
      <c r="B11" s="7" t="s">
        <v>19</v>
      </c>
      <c r="C11" s="10"/>
      <c r="D11" s="8" t="s">
        <v>62</v>
      </c>
      <c r="E11" s="8" t="s">
        <v>1158</v>
      </c>
      <c r="F11" s="8" t="s">
        <v>63</v>
      </c>
      <c r="G11" s="8" t="s">
        <v>1158</v>
      </c>
      <c r="H11" s="8"/>
      <c r="I11" s="8" t="s">
        <v>47</v>
      </c>
      <c r="J11" s="8" t="s">
        <v>1389</v>
      </c>
      <c r="K11" s="8" t="s">
        <v>1183</v>
      </c>
      <c r="L11" s="11"/>
      <c r="M11" s="6"/>
      <c r="N11" s="6"/>
    </row>
    <row r="12" spans="1:14" s="9" customFormat="1" ht="39" hidden="1" x14ac:dyDescent="0.35">
      <c r="B12" s="7" t="s">
        <v>19</v>
      </c>
      <c r="C12" s="10"/>
      <c r="D12" s="8" t="s">
        <v>65</v>
      </c>
      <c r="E12" s="8" t="s">
        <v>1158</v>
      </c>
      <c r="F12" s="8" t="s">
        <v>66</v>
      </c>
      <c r="G12" s="8" t="s">
        <v>1158</v>
      </c>
      <c r="H12" s="8"/>
      <c r="I12" s="8" t="s">
        <v>47</v>
      </c>
      <c r="J12" s="8" t="s">
        <v>1390</v>
      </c>
      <c r="K12" s="8" t="s">
        <v>1184</v>
      </c>
      <c r="L12" s="11"/>
      <c r="M12" s="6"/>
      <c r="N12" s="6"/>
    </row>
    <row r="13" spans="1:14" s="9" customFormat="1" ht="39" hidden="1" x14ac:dyDescent="0.35">
      <c r="B13" s="7" t="s">
        <v>19</v>
      </c>
      <c r="C13" s="10"/>
      <c r="D13" s="8" t="s">
        <v>68</v>
      </c>
      <c r="E13" s="8" t="s">
        <v>1158</v>
      </c>
      <c r="F13" s="8" t="s">
        <v>69</v>
      </c>
      <c r="G13" s="8" t="s">
        <v>1158</v>
      </c>
      <c r="H13" s="8"/>
      <c r="I13" s="8" t="s">
        <v>8</v>
      </c>
      <c r="J13" s="8" t="s">
        <v>1391</v>
      </c>
      <c r="K13" s="8" t="s">
        <v>1185</v>
      </c>
      <c r="L13" s="11"/>
      <c r="M13" s="6"/>
      <c r="N13" s="6"/>
    </row>
    <row r="14" spans="1:14" s="9" customFormat="1" ht="26" hidden="1" x14ac:dyDescent="0.35">
      <c r="B14" s="7" t="s">
        <v>19</v>
      </c>
      <c r="C14" s="10"/>
      <c r="D14" s="8" t="s">
        <v>71</v>
      </c>
      <c r="E14" s="8" t="s">
        <v>1158</v>
      </c>
      <c r="F14" s="8" t="s">
        <v>69</v>
      </c>
      <c r="G14" s="8" t="s">
        <v>1158</v>
      </c>
      <c r="H14" s="8"/>
      <c r="I14" s="8" t="s">
        <v>8</v>
      </c>
      <c r="J14" s="8" t="s">
        <v>1392</v>
      </c>
      <c r="K14" s="8" t="s">
        <v>1186</v>
      </c>
      <c r="L14" s="11"/>
      <c r="M14" s="6"/>
      <c r="N14" s="6"/>
    </row>
    <row r="15" spans="1:14" s="9" customFormat="1" ht="39" hidden="1" x14ac:dyDescent="0.35">
      <c r="B15" s="7" t="s">
        <v>19</v>
      </c>
      <c r="C15" s="10"/>
      <c r="D15" s="8" t="s">
        <v>73</v>
      </c>
      <c r="E15" s="8" t="s">
        <v>1158</v>
      </c>
      <c r="F15" s="8" t="s">
        <v>74</v>
      </c>
      <c r="G15" s="8" t="s">
        <v>1158</v>
      </c>
      <c r="H15" s="8"/>
      <c r="I15" s="8" t="s">
        <v>8</v>
      </c>
      <c r="J15" s="8" t="s">
        <v>1393</v>
      </c>
      <c r="K15" s="8" t="s">
        <v>1187</v>
      </c>
      <c r="L15" s="11"/>
      <c r="M15" s="6"/>
      <c r="N15" s="6"/>
    </row>
    <row r="16" spans="1:14" s="9" customFormat="1" ht="52" hidden="1" x14ac:dyDescent="0.35">
      <c r="B16" s="7" t="s">
        <v>19</v>
      </c>
      <c r="C16" s="10"/>
      <c r="D16" s="8" t="s">
        <v>76</v>
      </c>
      <c r="E16" s="8" t="s">
        <v>1158</v>
      </c>
      <c r="F16" s="8" t="s">
        <v>77</v>
      </c>
      <c r="G16" s="8" t="s">
        <v>1158</v>
      </c>
      <c r="H16" s="8"/>
      <c r="I16" s="8" t="s">
        <v>47</v>
      </c>
      <c r="J16" s="8" t="s">
        <v>1394</v>
      </c>
      <c r="K16" s="8" t="s">
        <v>1188</v>
      </c>
      <c r="L16" s="11"/>
      <c r="M16" s="6"/>
      <c r="N16" s="6"/>
    </row>
    <row r="17" spans="2:14" s="9" customFormat="1" ht="39" hidden="1" x14ac:dyDescent="0.35">
      <c r="B17" s="7" t="s">
        <v>19</v>
      </c>
      <c r="C17" s="10"/>
      <c r="D17" s="8" t="s">
        <v>79</v>
      </c>
      <c r="E17" s="8" t="s">
        <v>1158</v>
      </c>
      <c r="F17" s="8" t="s">
        <v>80</v>
      </c>
      <c r="G17" s="8" t="s">
        <v>1158</v>
      </c>
      <c r="H17" s="8"/>
      <c r="I17" s="8" t="s">
        <v>47</v>
      </c>
      <c r="J17" s="8" t="s">
        <v>1395</v>
      </c>
      <c r="K17" s="8" t="s">
        <v>1189</v>
      </c>
      <c r="L17" s="11"/>
      <c r="M17" s="6"/>
      <c r="N17" s="6"/>
    </row>
    <row r="18" spans="2:14" s="9" customFormat="1" ht="104" hidden="1" x14ac:dyDescent="0.35">
      <c r="B18" s="7" t="s">
        <v>19</v>
      </c>
      <c r="C18" s="10"/>
      <c r="D18" s="12" t="s">
        <v>82</v>
      </c>
      <c r="E18" s="8" t="s">
        <v>1158</v>
      </c>
      <c r="F18" s="8" t="s">
        <v>83</v>
      </c>
      <c r="G18" s="8" t="s">
        <v>1158</v>
      </c>
      <c r="H18" s="8"/>
      <c r="I18" s="8" t="s">
        <v>84</v>
      </c>
      <c r="J18" s="8" t="s">
        <v>1396</v>
      </c>
      <c r="K18" s="8" t="s">
        <v>1190</v>
      </c>
      <c r="L18" s="11"/>
      <c r="M18" s="6"/>
      <c r="N18" s="6"/>
    </row>
    <row r="19" spans="2:14" s="9" customFormat="1" ht="26" hidden="1" x14ac:dyDescent="0.35">
      <c r="B19" s="7" t="s">
        <v>19</v>
      </c>
      <c r="C19" s="10"/>
      <c r="D19" s="8" t="s">
        <v>86</v>
      </c>
      <c r="E19" s="8" t="s">
        <v>1158</v>
      </c>
      <c r="F19" s="8" t="s">
        <v>87</v>
      </c>
      <c r="G19" s="8" t="s">
        <v>1158</v>
      </c>
      <c r="H19" s="8"/>
      <c r="I19" s="8" t="s">
        <v>47</v>
      </c>
      <c r="J19" s="8" t="s">
        <v>1397</v>
      </c>
      <c r="K19" s="8" t="s">
        <v>1191</v>
      </c>
      <c r="L19" s="11"/>
      <c r="M19" s="6"/>
      <c r="N19" s="6"/>
    </row>
    <row r="20" spans="2:14" s="9" customFormat="1" ht="39" hidden="1" x14ac:dyDescent="0.35">
      <c r="B20" s="7" t="s">
        <v>19</v>
      </c>
      <c r="C20" s="10"/>
      <c r="D20" s="8" t="s">
        <v>89</v>
      </c>
      <c r="E20" s="8" t="s">
        <v>1158</v>
      </c>
      <c r="F20" s="8" t="s">
        <v>90</v>
      </c>
      <c r="G20" s="8" t="s">
        <v>1158</v>
      </c>
      <c r="H20" s="8"/>
      <c r="I20" s="8" t="s">
        <v>47</v>
      </c>
      <c r="J20" s="8" t="s">
        <v>1398</v>
      </c>
      <c r="K20" s="8" t="s">
        <v>1192</v>
      </c>
      <c r="L20" s="11"/>
      <c r="M20" s="6"/>
      <c r="N20" s="6"/>
    </row>
    <row r="21" spans="2:14" s="9" customFormat="1" ht="39" hidden="1" x14ac:dyDescent="0.35">
      <c r="B21" s="7" t="s">
        <v>19</v>
      </c>
      <c r="C21" s="10"/>
      <c r="D21" s="8" t="s">
        <v>92</v>
      </c>
      <c r="E21" s="8" t="s">
        <v>1158</v>
      </c>
      <c r="F21" s="8" t="s">
        <v>93</v>
      </c>
      <c r="G21" s="8" t="s">
        <v>1158</v>
      </c>
      <c r="H21" s="8"/>
      <c r="I21" s="8" t="s">
        <v>8</v>
      </c>
      <c r="J21" s="8" t="s">
        <v>94</v>
      </c>
      <c r="K21" s="8" t="s">
        <v>1193</v>
      </c>
      <c r="L21" s="11"/>
      <c r="M21" s="6"/>
      <c r="N21" s="6"/>
    </row>
    <row r="22" spans="2:14" s="9" customFormat="1" ht="26" hidden="1" x14ac:dyDescent="0.35">
      <c r="B22" s="13" t="s">
        <v>19</v>
      </c>
      <c r="C22" s="8"/>
      <c r="D22" s="8" t="s">
        <v>95</v>
      </c>
      <c r="E22" s="8" t="s">
        <v>1158</v>
      </c>
      <c r="F22" s="8" t="s">
        <v>96</v>
      </c>
      <c r="G22" s="8" t="s">
        <v>1158</v>
      </c>
      <c r="H22" s="8"/>
      <c r="I22" s="8" t="s">
        <v>23</v>
      </c>
      <c r="J22" s="8" t="s">
        <v>1399</v>
      </c>
      <c r="K22" s="8" t="s">
        <v>1194</v>
      </c>
      <c r="L22" s="11"/>
      <c r="M22" s="6"/>
      <c r="N22" s="6"/>
    </row>
    <row r="23" spans="2:14" s="9" customFormat="1" ht="130" hidden="1" x14ac:dyDescent="0.35">
      <c r="B23" s="7" t="s">
        <v>19</v>
      </c>
      <c r="C23" s="10"/>
      <c r="D23" s="8" t="s">
        <v>98</v>
      </c>
      <c r="E23" s="8" t="s">
        <v>1158</v>
      </c>
      <c r="F23" s="8" t="s">
        <v>99</v>
      </c>
      <c r="G23" s="8" t="s">
        <v>1158</v>
      </c>
      <c r="H23" s="8"/>
      <c r="I23" s="8" t="s">
        <v>47</v>
      </c>
      <c r="J23" s="8" t="s">
        <v>1400</v>
      </c>
      <c r="K23" s="8" t="s">
        <v>1195</v>
      </c>
      <c r="L23" s="11"/>
      <c r="M23" s="6"/>
      <c r="N23" s="6"/>
    </row>
    <row r="24" spans="2:14" s="9" customFormat="1" ht="169" hidden="1" x14ac:dyDescent="0.35">
      <c r="B24" s="7" t="s">
        <v>101</v>
      </c>
      <c r="C24" s="10" t="s">
        <v>445</v>
      </c>
      <c r="D24" s="8" t="s">
        <v>102</v>
      </c>
      <c r="E24" s="8" t="s">
        <v>1158</v>
      </c>
      <c r="F24" s="8" t="s">
        <v>103</v>
      </c>
      <c r="G24" s="8" t="s">
        <v>1158</v>
      </c>
      <c r="H24" s="8"/>
      <c r="I24" s="8" t="s">
        <v>47</v>
      </c>
      <c r="J24" s="8" t="s">
        <v>1401</v>
      </c>
      <c r="K24" s="8" t="s">
        <v>1197</v>
      </c>
      <c r="L24" s="11"/>
      <c r="M24" s="6"/>
      <c r="N24" s="6"/>
    </row>
    <row r="25" spans="2:14" s="9" customFormat="1" ht="156" hidden="1" x14ac:dyDescent="0.35">
      <c r="B25" s="7" t="s">
        <v>101</v>
      </c>
      <c r="C25" s="10" t="s">
        <v>445</v>
      </c>
      <c r="D25" s="8" t="s">
        <v>105</v>
      </c>
      <c r="E25" s="8" t="s">
        <v>1158</v>
      </c>
      <c r="F25" s="8" t="s">
        <v>106</v>
      </c>
      <c r="G25" s="8" t="s">
        <v>1158</v>
      </c>
      <c r="H25" s="8"/>
      <c r="I25" s="8" t="s">
        <v>47</v>
      </c>
      <c r="J25" s="8" t="s">
        <v>1402</v>
      </c>
      <c r="K25" s="8" t="s">
        <v>1198</v>
      </c>
      <c r="L25" s="11"/>
      <c r="M25" s="6"/>
      <c r="N25" s="6"/>
    </row>
    <row r="26" spans="2:14" s="9" customFormat="1" ht="156" hidden="1" x14ac:dyDescent="0.35">
      <c r="B26" s="7" t="s">
        <v>101</v>
      </c>
      <c r="C26" s="10" t="s">
        <v>445</v>
      </c>
      <c r="D26" s="8" t="s">
        <v>108</v>
      </c>
      <c r="E26" s="8" t="s">
        <v>1158</v>
      </c>
      <c r="F26" s="8" t="s">
        <v>108</v>
      </c>
      <c r="G26" s="8" t="s">
        <v>1158</v>
      </c>
      <c r="H26" s="8"/>
      <c r="I26" s="8" t="s">
        <v>8</v>
      </c>
      <c r="J26" s="8" t="s">
        <v>1403</v>
      </c>
      <c r="K26" s="8" t="s">
        <v>1199</v>
      </c>
      <c r="L26" s="11"/>
      <c r="M26" s="6"/>
      <c r="N26" s="6"/>
    </row>
    <row r="27" spans="2:14" s="9" customFormat="1" ht="169" hidden="1" x14ac:dyDescent="0.35">
      <c r="B27" s="7" t="s">
        <v>101</v>
      </c>
      <c r="C27" s="10" t="s">
        <v>445</v>
      </c>
      <c r="D27" s="8" t="s">
        <v>110</v>
      </c>
      <c r="E27" s="8" t="s">
        <v>1158</v>
      </c>
      <c r="F27" s="8" t="s">
        <v>110</v>
      </c>
      <c r="G27" s="8" t="s">
        <v>1158</v>
      </c>
      <c r="H27" s="8"/>
      <c r="I27" s="8" t="s">
        <v>8</v>
      </c>
      <c r="J27" s="8" t="s">
        <v>1404</v>
      </c>
      <c r="K27" s="8" t="s">
        <v>1200</v>
      </c>
      <c r="L27" s="11"/>
      <c r="M27" s="6"/>
      <c r="N27" s="6"/>
    </row>
    <row r="28" spans="2:14" s="9" customFormat="1" ht="169" hidden="1" x14ac:dyDescent="0.35">
      <c r="B28" s="7" t="s">
        <v>101</v>
      </c>
      <c r="C28" s="10" t="s">
        <v>445</v>
      </c>
      <c r="D28" s="8" t="s">
        <v>112</v>
      </c>
      <c r="E28" s="8" t="s">
        <v>1158</v>
      </c>
      <c r="F28" s="8" t="s">
        <v>112</v>
      </c>
      <c r="G28" s="8" t="s">
        <v>1158</v>
      </c>
      <c r="H28" s="8"/>
      <c r="I28" s="8" t="s">
        <v>8</v>
      </c>
      <c r="J28" s="8" t="s">
        <v>1405</v>
      </c>
      <c r="K28" s="8" t="s">
        <v>1201</v>
      </c>
      <c r="L28" s="11"/>
      <c r="M28" s="6"/>
      <c r="N28" s="6"/>
    </row>
    <row r="29" spans="2:14" s="9" customFormat="1" ht="156" hidden="1" x14ac:dyDescent="0.35">
      <c r="B29" s="7" t="s">
        <v>101</v>
      </c>
      <c r="C29" s="10" t="s">
        <v>445</v>
      </c>
      <c r="D29" s="8" t="s">
        <v>114</v>
      </c>
      <c r="E29" s="8" t="s">
        <v>1158</v>
      </c>
      <c r="F29" s="8" t="s">
        <v>114</v>
      </c>
      <c r="G29" s="8" t="s">
        <v>1158</v>
      </c>
      <c r="H29" s="8"/>
      <c r="I29" s="8" t="s">
        <v>8</v>
      </c>
      <c r="J29" s="8" t="s">
        <v>1406</v>
      </c>
      <c r="K29" s="8" t="s">
        <v>1202</v>
      </c>
      <c r="L29" s="11"/>
      <c r="M29" s="6"/>
      <c r="N29" s="6"/>
    </row>
    <row r="30" spans="2:14" s="9" customFormat="1" ht="156" hidden="1" x14ac:dyDescent="0.35">
      <c r="B30" s="7" t="s">
        <v>101</v>
      </c>
      <c r="C30" s="10" t="s">
        <v>445</v>
      </c>
      <c r="D30" s="8" t="s">
        <v>116</v>
      </c>
      <c r="E30" s="8" t="s">
        <v>1158</v>
      </c>
      <c r="F30" s="8" t="s">
        <v>116</v>
      </c>
      <c r="G30" s="8" t="s">
        <v>1158</v>
      </c>
      <c r="H30" s="8"/>
      <c r="I30" s="8" t="s">
        <v>8</v>
      </c>
      <c r="J30" s="8" t="s">
        <v>1407</v>
      </c>
      <c r="K30" s="8" t="s">
        <v>1203</v>
      </c>
      <c r="L30" s="11"/>
      <c r="M30" s="6"/>
      <c r="N30" s="6"/>
    </row>
    <row r="31" spans="2:14" s="9" customFormat="1" ht="169" hidden="1" x14ac:dyDescent="0.35">
      <c r="B31" s="7" t="s">
        <v>101</v>
      </c>
      <c r="C31" s="10" t="s">
        <v>445</v>
      </c>
      <c r="D31" s="8" t="s">
        <v>118</v>
      </c>
      <c r="E31" s="8" t="s">
        <v>1158</v>
      </c>
      <c r="F31" s="8" t="s">
        <v>118</v>
      </c>
      <c r="G31" s="8" t="s">
        <v>1158</v>
      </c>
      <c r="H31" s="8"/>
      <c r="I31" s="8" t="s">
        <v>8</v>
      </c>
      <c r="J31" s="8" t="s">
        <v>1408</v>
      </c>
      <c r="K31" s="8" t="s">
        <v>1204</v>
      </c>
      <c r="L31" s="11"/>
      <c r="M31" s="6"/>
      <c r="N31" s="6"/>
    </row>
    <row r="32" spans="2:14" s="9" customFormat="1" ht="156" hidden="1" x14ac:dyDescent="0.35">
      <c r="B32" s="7" t="s">
        <v>101</v>
      </c>
      <c r="C32" s="10" t="s">
        <v>445</v>
      </c>
      <c r="D32" s="8" t="s">
        <v>120</v>
      </c>
      <c r="E32" s="8" t="s">
        <v>1158</v>
      </c>
      <c r="F32" s="8" t="s">
        <v>120</v>
      </c>
      <c r="G32" s="8" t="s">
        <v>1158</v>
      </c>
      <c r="H32" s="8"/>
      <c r="I32" s="8" t="s">
        <v>8</v>
      </c>
      <c r="J32" s="8" t="s">
        <v>1409</v>
      </c>
      <c r="K32" s="8" t="s">
        <v>1205</v>
      </c>
      <c r="L32" s="11"/>
      <c r="M32" s="6"/>
      <c r="N32" s="6"/>
    </row>
    <row r="33" spans="2:14" s="9" customFormat="1" ht="169" hidden="1" x14ac:dyDescent="0.35">
      <c r="B33" s="7" t="s">
        <v>101</v>
      </c>
      <c r="C33" s="10" t="s">
        <v>445</v>
      </c>
      <c r="D33" s="8" t="s">
        <v>122</v>
      </c>
      <c r="E33" s="8" t="s">
        <v>1158</v>
      </c>
      <c r="F33" s="8" t="s">
        <v>122</v>
      </c>
      <c r="G33" s="8" t="s">
        <v>1158</v>
      </c>
      <c r="H33" s="8"/>
      <c r="I33" s="8" t="s">
        <v>8</v>
      </c>
      <c r="J33" s="8" t="s">
        <v>1410</v>
      </c>
      <c r="K33" s="8" t="s">
        <v>1206</v>
      </c>
      <c r="L33" s="11"/>
      <c r="M33" s="6"/>
      <c r="N33" s="6"/>
    </row>
    <row r="34" spans="2:14" s="9" customFormat="1" ht="195" hidden="1" x14ac:dyDescent="0.35">
      <c r="B34" s="7" t="s">
        <v>101</v>
      </c>
      <c r="C34" s="10" t="s">
        <v>445</v>
      </c>
      <c r="D34" s="8" t="s">
        <v>1207</v>
      </c>
      <c r="E34" s="8" t="s">
        <v>1158</v>
      </c>
      <c r="F34" s="8" t="s">
        <v>125</v>
      </c>
      <c r="G34" s="8" t="s">
        <v>1158</v>
      </c>
      <c r="H34" s="8"/>
      <c r="I34" s="8" t="s">
        <v>47</v>
      </c>
      <c r="J34" s="8" t="s">
        <v>1411</v>
      </c>
      <c r="K34" s="8" t="s">
        <v>1208</v>
      </c>
      <c r="L34" s="11"/>
      <c r="M34" s="6"/>
      <c r="N34" s="6"/>
    </row>
    <row r="35" spans="2:14" s="9" customFormat="1" ht="39" hidden="1" x14ac:dyDescent="0.35">
      <c r="B35" s="7" t="s">
        <v>101</v>
      </c>
      <c r="C35" s="10" t="s">
        <v>484</v>
      </c>
      <c r="D35" s="8" t="s">
        <v>127</v>
      </c>
      <c r="E35" s="8" t="s">
        <v>1158</v>
      </c>
      <c r="F35" s="8" t="s">
        <v>128</v>
      </c>
      <c r="G35" s="8" t="s">
        <v>1158</v>
      </c>
      <c r="H35" s="8"/>
      <c r="I35" s="8" t="s">
        <v>47</v>
      </c>
      <c r="J35" s="8" t="s">
        <v>1412</v>
      </c>
      <c r="K35" s="8" t="s">
        <v>1209</v>
      </c>
      <c r="L35" s="11"/>
      <c r="M35" s="6"/>
      <c r="N35" s="6"/>
    </row>
    <row r="36" spans="2:14" s="9" customFormat="1" ht="117" hidden="1" x14ac:dyDescent="0.35">
      <c r="B36" s="7" t="s">
        <v>101</v>
      </c>
      <c r="C36" s="10" t="s">
        <v>484</v>
      </c>
      <c r="D36" s="8" t="s">
        <v>130</v>
      </c>
      <c r="E36" s="8" t="s">
        <v>1158</v>
      </c>
      <c r="F36" s="8" t="s">
        <v>131</v>
      </c>
      <c r="G36" s="8" t="s">
        <v>1158</v>
      </c>
      <c r="H36" s="8"/>
      <c r="I36" s="8" t="s">
        <v>47</v>
      </c>
      <c r="J36" s="8" t="s">
        <v>1413</v>
      </c>
      <c r="K36" s="8" t="s">
        <v>1210</v>
      </c>
      <c r="L36" s="11"/>
      <c r="M36" s="6"/>
      <c r="N36" s="6"/>
    </row>
    <row r="37" spans="2:14" s="9" customFormat="1" ht="104" hidden="1" x14ac:dyDescent="0.35">
      <c r="B37" s="7" t="s">
        <v>101</v>
      </c>
      <c r="C37" s="10" t="s">
        <v>484</v>
      </c>
      <c r="D37" s="8" t="s">
        <v>133</v>
      </c>
      <c r="E37" s="8" t="s">
        <v>1158</v>
      </c>
      <c r="F37" s="8" t="s">
        <v>134</v>
      </c>
      <c r="G37" s="8" t="s">
        <v>1158</v>
      </c>
      <c r="H37" s="8"/>
      <c r="I37" s="8" t="s">
        <v>47</v>
      </c>
      <c r="J37" s="8" t="s">
        <v>1414</v>
      </c>
      <c r="K37" s="8" t="s">
        <v>1211</v>
      </c>
      <c r="L37" s="11"/>
      <c r="M37" s="6"/>
      <c r="N37" s="6"/>
    </row>
    <row r="38" spans="2:14" s="9" customFormat="1" ht="104" hidden="1" x14ac:dyDescent="0.35">
      <c r="B38" s="7" t="s">
        <v>101</v>
      </c>
      <c r="C38" s="10" t="s">
        <v>484</v>
      </c>
      <c r="D38" s="8" t="s">
        <v>136</v>
      </c>
      <c r="E38" s="8" t="s">
        <v>1158</v>
      </c>
      <c r="F38" s="8" t="s">
        <v>137</v>
      </c>
      <c r="G38" s="8" t="s">
        <v>1158</v>
      </c>
      <c r="H38" s="8"/>
      <c r="I38" s="8" t="s">
        <v>47</v>
      </c>
      <c r="J38" s="8" t="s">
        <v>1415</v>
      </c>
      <c r="K38" s="8" t="s">
        <v>1212</v>
      </c>
      <c r="L38" s="11"/>
      <c r="M38" s="6"/>
      <c r="N38" s="6"/>
    </row>
    <row r="39" spans="2:14" s="9" customFormat="1" ht="104" hidden="1" x14ac:dyDescent="0.35">
      <c r="B39" s="7" t="s">
        <v>101</v>
      </c>
      <c r="C39" s="10" t="s">
        <v>484</v>
      </c>
      <c r="D39" s="12" t="s">
        <v>139</v>
      </c>
      <c r="E39" s="8" t="s">
        <v>1158</v>
      </c>
      <c r="F39" s="8" t="s">
        <v>140</v>
      </c>
      <c r="G39" s="8" t="s">
        <v>1158</v>
      </c>
      <c r="H39" s="8"/>
      <c r="I39" s="8" t="s">
        <v>47</v>
      </c>
      <c r="J39" s="8" t="s">
        <v>1416</v>
      </c>
      <c r="K39" s="8" t="s">
        <v>1213</v>
      </c>
      <c r="L39" s="11"/>
      <c r="M39" s="6"/>
      <c r="N39" s="6"/>
    </row>
    <row r="40" spans="2:14" s="9" customFormat="1" ht="104" hidden="1" x14ac:dyDescent="0.35">
      <c r="B40" s="7" t="s">
        <v>101</v>
      </c>
      <c r="C40" s="10" t="s">
        <v>484</v>
      </c>
      <c r="D40" s="12" t="s">
        <v>142</v>
      </c>
      <c r="E40" s="8" t="s">
        <v>1158</v>
      </c>
      <c r="F40" s="12" t="s">
        <v>143</v>
      </c>
      <c r="G40" s="8" t="s">
        <v>1158</v>
      </c>
      <c r="H40" s="12"/>
      <c r="I40" s="8" t="s">
        <v>47</v>
      </c>
      <c r="J40" s="8" t="s">
        <v>1417</v>
      </c>
      <c r="K40" s="8" t="s">
        <v>1214</v>
      </c>
      <c r="L40" s="11"/>
      <c r="M40" s="6"/>
      <c r="N40" s="6"/>
    </row>
    <row r="41" spans="2:14" s="9" customFormat="1" ht="104" hidden="1" x14ac:dyDescent="0.35">
      <c r="B41" s="7" t="s">
        <v>101</v>
      </c>
      <c r="C41" s="10" t="s">
        <v>484</v>
      </c>
      <c r="D41" s="12" t="s">
        <v>145</v>
      </c>
      <c r="E41" s="8" t="s">
        <v>1158</v>
      </c>
      <c r="F41" s="12" t="s">
        <v>146</v>
      </c>
      <c r="G41" s="8" t="s">
        <v>1158</v>
      </c>
      <c r="H41" s="12"/>
      <c r="I41" s="8" t="s">
        <v>47</v>
      </c>
      <c r="J41" s="8" t="s">
        <v>1418</v>
      </c>
      <c r="K41" s="8" t="s">
        <v>1215</v>
      </c>
      <c r="L41" s="11"/>
      <c r="M41" s="6"/>
      <c r="N41" s="6"/>
    </row>
    <row r="42" spans="2:14" s="9" customFormat="1" ht="130" hidden="1" x14ac:dyDescent="0.35">
      <c r="B42" s="7" t="s">
        <v>101</v>
      </c>
      <c r="C42" s="10" t="s">
        <v>484</v>
      </c>
      <c r="D42" s="12" t="s">
        <v>1216</v>
      </c>
      <c r="E42" s="8" t="s">
        <v>1158</v>
      </c>
      <c r="F42" s="12" t="s">
        <v>149</v>
      </c>
      <c r="G42" s="8" t="s">
        <v>1158</v>
      </c>
      <c r="H42" s="12"/>
      <c r="I42" s="8" t="s">
        <v>47</v>
      </c>
      <c r="J42" s="8" t="s">
        <v>1419</v>
      </c>
      <c r="K42" s="8" t="s">
        <v>1217</v>
      </c>
      <c r="L42" s="11"/>
      <c r="M42" s="6"/>
      <c r="N42" s="6"/>
    </row>
    <row r="43" spans="2:14" s="9" customFormat="1" ht="104" hidden="1" x14ac:dyDescent="0.35">
      <c r="B43" s="7" t="s">
        <v>101</v>
      </c>
      <c r="C43" s="10" t="s">
        <v>484</v>
      </c>
      <c r="D43" s="12" t="s">
        <v>151</v>
      </c>
      <c r="E43" s="8" t="s">
        <v>1158</v>
      </c>
      <c r="F43" s="12" t="s">
        <v>152</v>
      </c>
      <c r="G43" s="8" t="s">
        <v>1158</v>
      </c>
      <c r="H43" s="12"/>
      <c r="I43" s="8" t="s">
        <v>47</v>
      </c>
      <c r="J43" s="8" t="s">
        <v>1420</v>
      </c>
      <c r="K43" s="8" t="s">
        <v>1218</v>
      </c>
      <c r="L43" s="11"/>
      <c r="M43" s="6"/>
      <c r="N43" s="6"/>
    </row>
    <row r="44" spans="2:14" s="9" customFormat="1" ht="117" hidden="1" x14ac:dyDescent="0.35">
      <c r="B44" s="7" t="s">
        <v>101</v>
      </c>
      <c r="C44" s="10" t="s">
        <v>484</v>
      </c>
      <c r="D44" s="12" t="s">
        <v>154</v>
      </c>
      <c r="E44" s="8" t="s">
        <v>1158</v>
      </c>
      <c r="F44" s="12" t="s">
        <v>155</v>
      </c>
      <c r="G44" s="8" t="s">
        <v>1158</v>
      </c>
      <c r="H44" s="12"/>
      <c r="I44" s="8" t="s">
        <v>47</v>
      </c>
      <c r="J44" s="8" t="s">
        <v>1421</v>
      </c>
      <c r="K44" s="8" t="s">
        <v>1219</v>
      </c>
      <c r="L44" s="11"/>
      <c r="M44" s="6"/>
      <c r="N44" s="6"/>
    </row>
    <row r="45" spans="2:14" s="9" customFormat="1" ht="104" hidden="1" x14ac:dyDescent="0.35">
      <c r="B45" s="7" t="s">
        <v>101</v>
      </c>
      <c r="C45" s="10" t="s">
        <v>484</v>
      </c>
      <c r="D45" s="12" t="s">
        <v>157</v>
      </c>
      <c r="E45" s="8" t="s">
        <v>1158</v>
      </c>
      <c r="F45" s="8" t="s">
        <v>158</v>
      </c>
      <c r="G45" s="8" t="s">
        <v>1158</v>
      </c>
      <c r="H45" s="8"/>
      <c r="I45" s="8" t="s">
        <v>47</v>
      </c>
      <c r="J45" s="8" t="s">
        <v>1422</v>
      </c>
      <c r="K45" s="8" t="s">
        <v>1220</v>
      </c>
      <c r="L45" s="11"/>
      <c r="M45" s="6"/>
      <c r="N45" s="6"/>
    </row>
    <row r="46" spans="2:14" s="9" customFormat="1" ht="117" hidden="1" x14ac:dyDescent="0.35">
      <c r="B46" s="7" t="s">
        <v>101</v>
      </c>
      <c r="C46" s="10" t="s">
        <v>484</v>
      </c>
      <c r="D46" s="8" t="s">
        <v>160</v>
      </c>
      <c r="E46" s="8" t="s">
        <v>1158</v>
      </c>
      <c r="F46" s="8" t="s">
        <v>161</v>
      </c>
      <c r="G46" s="8" t="s">
        <v>1158</v>
      </c>
      <c r="H46" s="8"/>
      <c r="I46" s="8" t="s">
        <v>47</v>
      </c>
      <c r="J46" s="8" t="s">
        <v>1423</v>
      </c>
      <c r="K46" s="8" t="s">
        <v>1221</v>
      </c>
      <c r="L46" s="11"/>
      <c r="M46" s="6"/>
      <c r="N46" s="6"/>
    </row>
    <row r="47" spans="2:14" s="9" customFormat="1" ht="104" hidden="1" x14ac:dyDescent="0.35">
      <c r="B47" s="7" t="s">
        <v>101</v>
      </c>
      <c r="C47" s="10" t="s">
        <v>484</v>
      </c>
      <c r="D47" s="12" t="s">
        <v>1222</v>
      </c>
      <c r="E47" s="8" t="s">
        <v>1158</v>
      </c>
      <c r="F47" s="8" t="s">
        <v>164</v>
      </c>
      <c r="G47" s="8" t="s">
        <v>1158</v>
      </c>
      <c r="H47" s="8"/>
      <c r="I47" s="8" t="s">
        <v>47</v>
      </c>
      <c r="J47" s="8" t="s">
        <v>1424</v>
      </c>
      <c r="K47" s="8" t="s">
        <v>1223</v>
      </c>
      <c r="L47" s="11"/>
      <c r="M47" s="6"/>
      <c r="N47" s="6"/>
    </row>
    <row r="48" spans="2:14" s="9" customFormat="1" ht="104" hidden="1" x14ac:dyDescent="0.35">
      <c r="B48" s="7" t="s">
        <v>101</v>
      </c>
      <c r="C48" s="10" t="s">
        <v>484</v>
      </c>
      <c r="D48" s="12" t="s">
        <v>166</v>
      </c>
      <c r="E48" s="8" t="s">
        <v>1158</v>
      </c>
      <c r="F48" s="8" t="s">
        <v>167</v>
      </c>
      <c r="G48" s="8" t="s">
        <v>1158</v>
      </c>
      <c r="H48" s="8"/>
      <c r="I48" s="8" t="s">
        <v>47</v>
      </c>
      <c r="J48" s="8" t="s">
        <v>1425</v>
      </c>
      <c r="K48" s="8" t="s">
        <v>1224</v>
      </c>
      <c r="L48" s="11"/>
      <c r="M48" s="6"/>
      <c r="N48" s="6"/>
    </row>
    <row r="49" spans="1:17" s="9" customFormat="1" ht="104" hidden="1" x14ac:dyDescent="0.35">
      <c r="B49" s="7" t="s">
        <v>101</v>
      </c>
      <c r="C49" s="10" t="s">
        <v>484</v>
      </c>
      <c r="D49" s="12" t="s">
        <v>169</v>
      </c>
      <c r="E49" s="8" t="s">
        <v>1158</v>
      </c>
      <c r="F49" s="8" t="s">
        <v>170</v>
      </c>
      <c r="G49" s="8" t="s">
        <v>1158</v>
      </c>
      <c r="H49" s="8"/>
      <c r="I49" s="8" t="s">
        <v>47</v>
      </c>
      <c r="J49" s="8" t="s">
        <v>1426</v>
      </c>
      <c r="K49" s="8" t="s">
        <v>1225</v>
      </c>
      <c r="L49" s="11"/>
      <c r="M49" s="6"/>
      <c r="N49" s="6"/>
    </row>
    <row r="50" spans="1:17" s="9" customFormat="1" ht="104" hidden="1" x14ac:dyDescent="0.35">
      <c r="B50" s="7" t="s">
        <v>101</v>
      </c>
      <c r="C50" s="10" t="s">
        <v>484</v>
      </c>
      <c r="D50" s="12" t="s">
        <v>172</v>
      </c>
      <c r="E50" s="8" t="s">
        <v>1158</v>
      </c>
      <c r="F50" s="8" t="s">
        <v>173</v>
      </c>
      <c r="G50" s="8" t="s">
        <v>1158</v>
      </c>
      <c r="H50" s="8"/>
      <c r="I50" s="8" t="s">
        <v>47</v>
      </c>
      <c r="J50" s="8" t="s">
        <v>1427</v>
      </c>
      <c r="K50" s="8" t="s">
        <v>1226</v>
      </c>
      <c r="L50" s="11"/>
      <c r="M50" s="6"/>
      <c r="N50" s="6"/>
    </row>
    <row r="51" spans="1:17" s="9" customFormat="1" ht="130" hidden="1" x14ac:dyDescent="0.35">
      <c r="B51" s="14" t="s">
        <v>101</v>
      </c>
      <c r="C51" s="15" t="s">
        <v>484</v>
      </c>
      <c r="D51" s="16" t="s">
        <v>1227</v>
      </c>
      <c r="E51" s="8" t="s">
        <v>1158</v>
      </c>
      <c r="F51" s="17" t="s">
        <v>176</v>
      </c>
      <c r="G51" s="8" t="s">
        <v>1158</v>
      </c>
      <c r="H51" s="17"/>
      <c r="I51" s="8" t="s">
        <v>47</v>
      </c>
      <c r="J51" s="17" t="s">
        <v>1428</v>
      </c>
      <c r="K51" s="17" t="s">
        <v>1228</v>
      </c>
      <c r="L51" s="11"/>
      <c r="M51" s="6"/>
      <c r="N51" s="6"/>
    </row>
    <row r="52" spans="1:17" s="9" customFormat="1" ht="117" hidden="1" x14ac:dyDescent="0.35">
      <c r="B52" s="7" t="s">
        <v>101</v>
      </c>
      <c r="C52" s="10" t="s">
        <v>484</v>
      </c>
      <c r="D52" s="8" t="s">
        <v>1229</v>
      </c>
      <c r="E52" s="8" t="s">
        <v>1158</v>
      </c>
      <c r="F52" s="8" t="s">
        <v>179</v>
      </c>
      <c r="G52" s="8" t="s">
        <v>1158</v>
      </c>
      <c r="H52" s="8"/>
      <c r="I52" s="8" t="s">
        <v>8</v>
      </c>
      <c r="J52" s="8" t="s">
        <v>1429</v>
      </c>
      <c r="K52" s="8" t="s">
        <v>1230</v>
      </c>
      <c r="L52" s="11"/>
      <c r="M52" s="6"/>
      <c r="N52" s="6"/>
    </row>
    <row r="53" spans="1:17" ht="247" hidden="1" x14ac:dyDescent="0.35">
      <c r="B53" s="7" t="s">
        <v>101</v>
      </c>
      <c r="C53" s="10" t="s">
        <v>545</v>
      </c>
      <c r="D53" s="8" t="s">
        <v>181</v>
      </c>
      <c r="E53" s="17" t="s">
        <v>1158</v>
      </c>
      <c r="F53" s="18" t="s">
        <v>182</v>
      </c>
      <c r="G53" s="8" t="s">
        <v>1158</v>
      </c>
      <c r="H53" s="18"/>
      <c r="I53" s="8" t="s">
        <v>8</v>
      </c>
      <c r="J53" s="8" t="s">
        <v>1430</v>
      </c>
      <c r="K53" s="8" t="s">
        <v>1231</v>
      </c>
      <c r="L53" s="11"/>
    </row>
    <row r="54" spans="1:17" ht="156" hidden="1" x14ac:dyDescent="0.35">
      <c r="B54" s="7" t="s">
        <v>101</v>
      </c>
      <c r="C54" s="10" t="s">
        <v>545</v>
      </c>
      <c r="D54" s="8" t="s">
        <v>184</v>
      </c>
      <c r="E54" s="17" t="s">
        <v>1158</v>
      </c>
      <c r="F54" s="10" t="s">
        <v>185</v>
      </c>
      <c r="G54" s="17" t="s">
        <v>1158</v>
      </c>
      <c r="H54" s="15"/>
      <c r="I54" s="17" t="s">
        <v>6</v>
      </c>
      <c r="J54" s="8" t="s">
        <v>1431</v>
      </c>
      <c r="K54" s="8" t="s">
        <v>1232</v>
      </c>
      <c r="L54" s="11"/>
      <c r="Q54" s="6" t="s">
        <v>553</v>
      </c>
    </row>
    <row r="55" spans="1:17" ht="39" hidden="1" x14ac:dyDescent="0.35">
      <c r="B55" s="7" t="s">
        <v>101</v>
      </c>
      <c r="C55" s="10" t="s">
        <v>545</v>
      </c>
      <c r="D55" s="8" t="s">
        <v>187</v>
      </c>
      <c r="E55" s="8" t="s">
        <v>1158</v>
      </c>
      <c r="F55" s="10" t="s">
        <v>69</v>
      </c>
      <c r="G55" s="8" t="s">
        <v>1158</v>
      </c>
      <c r="H55" s="10"/>
      <c r="I55" s="8" t="s">
        <v>14</v>
      </c>
      <c r="J55" s="8" t="s">
        <v>1432</v>
      </c>
      <c r="K55" s="8" t="s">
        <v>1233</v>
      </c>
      <c r="L55" s="11"/>
    </row>
    <row r="56" spans="1:17" ht="117" hidden="1" x14ac:dyDescent="0.35">
      <c r="B56" s="7" t="s">
        <v>101</v>
      </c>
      <c r="C56" s="10" t="s">
        <v>545</v>
      </c>
      <c r="D56" s="8" t="s">
        <v>189</v>
      </c>
      <c r="E56" s="8" t="s">
        <v>1158</v>
      </c>
      <c r="F56" s="10" t="s">
        <v>190</v>
      </c>
      <c r="G56" s="8" t="s">
        <v>1158</v>
      </c>
      <c r="H56" s="10"/>
      <c r="I56" s="8" t="s">
        <v>14</v>
      </c>
      <c r="J56" s="8" t="s">
        <v>1433</v>
      </c>
      <c r="K56" s="8" t="s">
        <v>1234</v>
      </c>
      <c r="L56" s="11"/>
    </row>
    <row r="57" spans="1:17" ht="39" hidden="1" x14ac:dyDescent="0.35">
      <c r="B57" s="7" t="s">
        <v>101</v>
      </c>
      <c r="C57" s="10" t="s">
        <v>545</v>
      </c>
      <c r="D57" s="8" t="s">
        <v>192</v>
      </c>
      <c r="E57" s="8" t="s">
        <v>1158</v>
      </c>
      <c r="F57" s="10" t="s">
        <v>193</v>
      </c>
      <c r="G57" s="8" t="s">
        <v>1158</v>
      </c>
      <c r="H57" s="10"/>
      <c r="I57" s="8" t="s">
        <v>14</v>
      </c>
      <c r="J57" s="8" t="s">
        <v>1434</v>
      </c>
      <c r="K57" s="8" t="s">
        <v>1235</v>
      </c>
      <c r="L57" s="11"/>
    </row>
    <row r="58" spans="1:17" ht="39" hidden="1" x14ac:dyDescent="0.35">
      <c r="B58" s="7" t="s">
        <v>101</v>
      </c>
      <c r="C58" s="10" t="s">
        <v>545</v>
      </c>
      <c r="D58" s="8" t="s">
        <v>1236</v>
      </c>
      <c r="E58" s="8" t="s">
        <v>1158</v>
      </c>
      <c r="F58" s="10" t="s">
        <v>196</v>
      </c>
      <c r="G58" s="8" t="s">
        <v>1158</v>
      </c>
      <c r="H58" s="10"/>
      <c r="I58" s="8" t="s">
        <v>14</v>
      </c>
      <c r="J58" s="8" t="s">
        <v>1435</v>
      </c>
      <c r="K58" s="8" t="s">
        <v>1237</v>
      </c>
      <c r="L58" s="11"/>
    </row>
    <row r="59" spans="1:17" ht="156" hidden="1" x14ac:dyDescent="0.35">
      <c r="B59" s="7" t="s">
        <v>101</v>
      </c>
      <c r="C59" s="10" t="s">
        <v>545</v>
      </c>
      <c r="D59" s="8" t="s">
        <v>198</v>
      </c>
      <c r="E59" s="8" t="s">
        <v>1158</v>
      </c>
      <c r="F59" s="8" t="s">
        <v>199</v>
      </c>
      <c r="G59" s="8" t="s">
        <v>1158</v>
      </c>
      <c r="H59" s="8"/>
      <c r="I59" s="8" t="s">
        <v>8</v>
      </c>
      <c r="J59" s="8" t="s">
        <v>1436</v>
      </c>
      <c r="K59" s="8" t="s">
        <v>1238</v>
      </c>
      <c r="L59" s="11"/>
    </row>
    <row r="60" spans="1:17" ht="195" hidden="1" x14ac:dyDescent="0.35">
      <c r="A60" s="19"/>
      <c r="B60" s="20" t="s">
        <v>101</v>
      </c>
      <c r="C60" s="17" t="s">
        <v>545</v>
      </c>
      <c r="D60" s="17" t="s">
        <v>201</v>
      </c>
      <c r="E60" s="17" t="s">
        <v>1158</v>
      </c>
      <c r="F60" s="17" t="s">
        <v>202</v>
      </c>
      <c r="G60" s="17" t="s">
        <v>1158</v>
      </c>
      <c r="H60" s="17"/>
      <c r="I60" s="17" t="s">
        <v>47</v>
      </c>
      <c r="J60" s="17" t="s">
        <v>203</v>
      </c>
      <c r="K60" s="17" t="s">
        <v>1437</v>
      </c>
      <c r="L60" s="21"/>
    </row>
    <row r="61" spans="1:17" ht="260" hidden="1" x14ac:dyDescent="0.35">
      <c r="A61" s="19"/>
      <c r="B61" s="20" t="s">
        <v>101</v>
      </c>
      <c r="C61" s="17" t="s">
        <v>545</v>
      </c>
      <c r="D61" s="17" t="s">
        <v>204</v>
      </c>
      <c r="E61" s="8" t="s">
        <v>1158</v>
      </c>
      <c r="F61" s="17" t="s">
        <v>1438</v>
      </c>
      <c r="G61" s="8" t="s">
        <v>1158</v>
      </c>
      <c r="H61" s="8"/>
      <c r="I61" s="8" t="s">
        <v>47</v>
      </c>
      <c r="J61" s="17" t="s">
        <v>206</v>
      </c>
      <c r="K61" s="17" t="s">
        <v>1439</v>
      </c>
      <c r="L61" s="21"/>
    </row>
    <row r="62" spans="1:17" ht="169" hidden="1" x14ac:dyDescent="0.35">
      <c r="A62" s="19"/>
      <c r="B62" s="20" t="s">
        <v>101</v>
      </c>
      <c r="C62" s="17" t="s">
        <v>545</v>
      </c>
      <c r="D62" s="17" t="s">
        <v>1251</v>
      </c>
      <c r="E62" s="8" t="s">
        <v>1158</v>
      </c>
      <c r="F62" s="17" t="s">
        <v>208</v>
      </c>
      <c r="G62" s="8" t="s">
        <v>1158</v>
      </c>
      <c r="H62" s="8"/>
      <c r="I62" s="8" t="s">
        <v>47</v>
      </c>
      <c r="J62" s="17" t="s">
        <v>1252</v>
      </c>
      <c r="K62" s="17" t="s">
        <v>1253</v>
      </c>
      <c r="L62" s="21"/>
    </row>
    <row r="63" spans="1:17" ht="208" hidden="1" x14ac:dyDescent="0.35">
      <c r="A63" s="19"/>
      <c r="B63" s="20" t="s">
        <v>101</v>
      </c>
      <c r="C63" s="17" t="s">
        <v>545</v>
      </c>
      <c r="D63" s="17" t="s">
        <v>210</v>
      </c>
      <c r="E63" s="8" t="s">
        <v>1158</v>
      </c>
      <c r="F63" s="17" t="s">
        <v>211</v>
      </c>
      <c r="G63" s="8" t="s">
        <v>1158</v>
      </c>
      <c r="H63" s="8"/>
      <c r="I63" s="8" t="s">
        <v>47</v>
      </c>
      <c r="J63" s="17" t="s">
        <v>212</v>
      </c>
      <c r="K63" s="17" t="s">
        <v>1440</v>
      </c>
      <c r="L63" s="21"/>
    </row>
    <row r="64" spans="1:17" ht="65" hidden="1" x14ac:dyDescent="0.35">
      <c r="A64" s="19"/>
      <c r="B64" s="20" t="s">
        <v>101</v>
      </c>
      <c r="C64" s="17" t="s">
        <v>545</v>
      </c>
      <c r="D64" s="17" t="s">
        <v>213</v>
      </c>
      <c r="E64" s="8" t="s">
        <v>1158</v>
      </c>
      <c r="F64" s="17" t="s">
        <v>1273</v>
      </c>
      <c r="G64" s="8" t="s">
        <v>1158</v>
      </c>
      <c r="H64" s="8"/>
      <c r="I64" s="8" t="s">
        <v>8</v>
      </c>
      <c r="J64" s="17" t="s">
        <v>1274</v>
      </c>
      <c r="K64" s="17" t="s">
        <v>1275</v>
      </c>
      <c r="L64" s="21"/>
    </row>
    <row r="65" spans="1:14" ht="143" x14ac:dyDescent="0.35">
      <c r="A65" s="31"/>
      <c r="B65" s="23" t="s">
        <v>101</v>
      </c>
      <c r="C65" s="24" t="s">
        <v>545</v>
      </c>
      <c r="D65" s="24" t="s">
        <v>309</v>
      </c>
      <c r="E65" s="6"/>
      <c r="F65" s="22" t="s">
        <v>1239</v>
      </c>
      <c r="I65" s="6"/>
      <c r="J65" s="22" t="s">
        <v>1441</v>
      </c>
      <c r="K65" s="22" t="s">
        <v>1442</v>
      </c>
      <c r="L65" s="22"/>
    </row>
    <row r="66" spans="1:14" s="9" customFormat="1" ht="104" x14ac:dyDescent="0.35">
      <c r="A66" s="31"/>
      <c r="B66" s="23" t="s">
        <v>101</v>
      </c>
      <c r="C66" s="25" t="s">
        <v>545</v>
      </c>
      <c r="D66" s="25" t="s">
        <v>311</v>
      </c>
      <c r="E66" s="8"/>
      <c r="F66" s="26" t="s">
        <v>1242</v>
      </c>
      <c r="G66" s="27"/>
      <c r="H66" s="27"/>
      <c r="I66" s="8"/>
      <c r="J66" s="26" t="s">
        <v>1443</v>
      </c>
      <c r="K66" s="26" t="s">
        <v>1244</v>
      </c>
      <c r="L66" s="28"/>
      <c r="M66" s="6"/>
      <c r="N66" s="6"/>
    </row>
    <row r="67" spans="1:14" s="9" customFormat="1" ht="104" x14ac:dyDescent="0.35">
      <c r="A67" s="31"/>
      <c r="B67" s="23" t="s">
        <v>101</v>
      </c>
      <c r="C67" s="25" t="s">
        <v>545</v>
      </c>
      <c r="D67" s="25" t="s">
        <v>313</v>
      </c>
      <c r="E67" s="8"/>
      <c r="F67" s="26" t="s">
        <v>1245</v>
      </c>
      <c r="G67" s="27"/>
      <c r="H67" s="27"/>
      <c r="I67" s="8"/>
      <c r="J67" s="26" t="s">
        <v>1444</v>
      </c>
      <c r="K67" s="26" t="s">
        <v>1247</v>
      </c>
      <c r="L67" s="28"/>
      <c r="M67" s="6"/>
      <c r="N67" s="6"/>
    </row>
    <row r="68" spans="1:14" s="9" customFormat="1" ht="182" x14ac:dyDescent="0.35">
      <c r="A68" s="31"/>
      <c r="B68" s="23" t="s">
        <v>101</v>
      </c>
      <c r="C68" s="25" t="s">
        <v>545</v>
      </c>
      <c r="D68" s="25" t="s">
        <v>315</v>
      </c>
      <c r="E68" s="8"/>
      <c r="F68" s="26" t="s">
        <v>1248</v>
      </c>
      <c r="G68" s="27"/>
      <c r="H68" s="27"/>
      <c r="I68" s="8"/>
      <c r="J68" s="26" t="s">
        <v>1445</v>
      </c>
      <c r="K68" s="26" t="s">
        <v>1250</v>
      </c>
      <c r="L68" s="28"/>
      <c r="M68" s="6"/>
      <c r="N68" s="6"/>
    </row>
    <row r="69" spans="1:14" ht="156" x14ac:dyDescent="0.35">
      <c r="A69" s="31"/>
      <c r="B69" s="23" t="s">
        <v>101</v>
      </c>
      <c r="C69" s="24" t="s">
        <v>545</v>
      </c>
      <c r="D69" s="24" t="s">
        <v>317</v>
      </c>
      <c r="E69" s="6"/>
      <c r="F69" s="22" t="s">
        <v>1254</v>
      </c>
      <c r="I69" s="6"/>
      <c r="J69" s="22" t="s">
        <v>1446</v>
      </c>
      <c r="K69" s="22" t="s">
        <v>1256</v>
      </c>
      <c r="L69" s="22"/>
    </row>
    <row r="70" spans="1:14" s="9" customFormat="1" ht="143" x14ac:dyDescent="0.35">
      <c r="A70" s="31"/>
      <c r="B70" s="23" t="s">
        <v>101</v>
      </c>
      <c r="C70" s="25" t="s">
        <v>545</v>
      </c>
      <c r="D70" s="25" t="s">
        <v>319</v>
      </c>
      <c r="E70" s="8"/>
      <c r="F70" s="26" t="s">
        <v>1257</v>
      </c>
      <c r="G70" s="27"/>
      <c r="H70" s="27"/>
      <c r="I70" s="6"/>
      <c r="J70" s="26" t="s">
        <v>1447</v>
      </c>
      <c r="K70" s="26" t="s">
        <v>1259</v>
      </c>
      <c r="L70" s="28"/>
      <c r="M70" s="6"/>
      <c r="N70" s="6"/>
    </row>
    <row r="71" spans="1:14" s="9" customFormat="1" ht="169" x14ac:dyDescent="0.35">
      <c r="A71" s="31"/>
      <c r="B71" s="23" t="s">
        <v>101</v>
      </c>
      <c r="C71" s="25" t="s">
        <v>545</v>
      </c>
      <c r="D71" s="25" t="s">
        <v>321</v>
      </c>
      <c r="E71" s="8"/>
      <c r="F71" s="26" t="s">
        <v>1260</v>
      </c>
      <c r="G71" s="27"/>
      <c r="H71" s="27"/>
      <c r="I71" s="8"/>
      <c r="J71" s="26" t="s">
        <v>1448</v>
      </c>
      <c r="K71" s="26" t="s">
        <v>1262</v>
      </c>
      <c r="L71" s="28"/>
      <c r="M71" s="6"/>
      <c r="N71" s="6"/>
    </row>
    <row r="72" spans="1:14" s="9" customFormat="1" ht="156" x14ac:dyDescent="0.35">
      <c r="A72" s="31"/>
      <c r="B72" s="23" t="s">
        <v>101</v>
      </c>
      <c r="C72" s="25" t="s">
        <v>545</v>
      </c>
      <c r="D72" s="25" t="s">
        <v>323</v>
      </c>
      <c r="E72" s="8"/>
      <c r="F72" s="26" t="s">
        <v>1263</v>
      </c>
      <c r="G72" s="27"/>
      <c r="H72" s="27"/>
      <c r="I72" s="8"/>
      <c r="J72" s="26" t="s">
        <v>1449</v>
      </c>
      <c r="K72" s="26" t="s">
        <v>1450</v>
      </c>
      <c r="L72" s="28"/>
      <c r="M72" s="6"/>
      <c r="N72" s="6"/>
    </row>
    <row r="73" spans="1:14" s="9" customFormat="1" ht="182" x14ac:dyDescent="0.35">
      <c r="A73" s="31"/>
      <c r="B73" s="23" t="s">
        <v>101</v>
      </c>
      <c r="C73" s="25" t="s">
        <v>545</v>
      </c>
      <c r="D73" s="25" t="s">
        <v>1266</v>
      </c>
      <c r="E73" s="8"/>
      <c r="F73" s="26" t="s">
        <v>1267</v>
      </c>
      <c r="G73" s="27"/>
      <c r="H73" s="27"/>
      <c r="I73" s="8"/>
      <c r="J73" s="26" t="s">
        <v>1451</v>
      </c>
      <c r="K73" s="26" t="s">
        <v>1452</v>
      </c>
      <c r="L73" s="28"/>
      <c r="M73" s="6"/>
      <c r="N73" s="6"/>
    </row>
    <row r="74" spans="1:14" ht="156" x14ac:dyDescent="0.35">
      <c r="A74" s="31"/>
      <c r="B74" s="23" t="s">
        <v>101</v>
      </c>
      <c r="C74" s="24" t="s">
        <v>545</v>
      </c>
      <c r="D74" s="24" t="s">
        <v>1453</v>
      </c>
      <c r="E74" s="6"/>
      <c r="F74" s="22" t="s">
        <v>1270</v>
      </c>
      <c r="I74" s="6"/>
      <c r="J74" s="22" t="s">
        <v>1454</v>
      </c>
      <c r="K74" s="22" t="s">
        <v>1272</v>
      </c>
      <c r="L74" s="22"/>
    </row>
    <row r="75" spans="1:14" s="9" customFormat="1" ht="182" x14ac:dyDescent="0.35">
      <c r="A75" s="31"/>
      <c r="B75" s="23" t="s">
        <v>101</v>
      </c>
      <c r="C75" s="25" t="s">
        <v>545</v>
      </c>
      <c r="D75" s="25" t="s">
        <v>329</v>
      </c>
      <c r="E75" s="8"/>
      <c r="F75" s="26" t="s">
        <v>1276</v>
      </c>
      <c r="G75" s="27"/>
      <c r="H75" s="27"/>
      <c r="I75" s="8"/>
      <c r="J75" s="26" t="s">
        <v>1455</v>
      </c>
      <c r="K75" s="26" t="s">
        <v>1456</v>
      </c>
      <c r="L75" s="28"/>
      <c r="M75" s="6"/>
      <c r="N75" s="6"/>
    </row>
    <row r="76" spans="1:14" s="9" customFormat="1" ht="169" x14ac:dyDescent="0.35">
      <c r="A76" s="31"/>
      <c r="B76" s="23" t="s">
        <v>101</v>
      </c>
      <c r="C76" s="25" t="s">
        <v>545</v>
      </c>
      <c r="D76" s="25" t="s">
        <v>331</v>
      </c>
      <c r="E76" s="8"/>
      <c r="F76" s="26" t="s">
        <v>1279</v>
      </c>
      <c r="G76" s="27"/>
      <c r="H76" s="27"/>
      <c r="I76" s="8"/>
      <c r="J76" s="26" t="s">
        <v>1457</v>
      </c>
      <c r="K76" s="26" t="s">
        <v>1281</v>
      </c>
      <c r="L76" s="28"/>
      <c r="M76" s="6"/>
      <c r="N76" s="6"/>
    </row>
    <row r="77" spans="1:14" ht="143" x14ac:dyDescent="0.35">
      <c r="A77" s="31"/>
      <c r="B77" s="23" t="s">
        <v>101</v>
      </c>
      <c r="C77" s="24" t="s">
        <v>545</v>
      </c>
      <c r="D77" s="24" t="s">
        <v>333</v>
      </c>
      <c r="E77" s="6"/>
      <c r="F77" s="22" t="s">
        <v>1282</v>
      </c>
      <c r="I77" s="6"/>
      <c r="J77" s="22" t="s">
        <v>1458</v>
      </c>
      <c r="K77" s="22" t="s">
        <v>1284</v>
      </c>
      <c r="L77" s="22"/>
    </row>
    <row r="78" spans="1:14" s="9" customFormat="1" ht="156" hidden="1" x14ac:dyDescent="0.35">
      <c r="B78" s="13" t="s">
        <v>228</v>
      </c>
      <c r="C78" s="8"/>
      <c r="D78" s="8" t="s">
        <v>229</v>
      </c>
      <c r="E78" s="8" t="s">
        <v>1158</v>
      </c>
      <c r="F78" s="8" t="s">
        <v>1286</v>
      </c>
      <c r="G78" s="8" t="s">
        <v>1158</v>
      </c>
      <c r="H78" s="8"/>
      <c r="I78" s="8" t="e" cm="1">
        <f t="array" ref="I78">_xlfn.TEXTJOIN(", ", TRUE, IF(#REF!="Yes",#REF!, ""))</f>
        <v>#REF!</v>
      </c>
      <c r="J78" s="8" t="s">
        <v>231</v>
      </c>
      <c r="K78" s="8" t="s">
        <v>1287</v>
      </c>
      <c r="L78" s="11"/>
      <c r="M78" s="6"/>
      <c r="N78" s="6"/>
    </row>
    <row r="79" spans="1:14" ht="26" hidden="1" x14ac:dyDescent="0.35">
      <c r="A79" s="9"/>
      <c r="B79" s="20" t="s">
        <v>228</v>
      </c>
      <c r="C79" s="19"/>
      <c r="D79" s="19" t="s">
        <v>232</v>
      </c>
      <c r="E79" s="6" t="s">
        <v>1158</v>
      </c>
      <c r="F79" s="19" t="s">
        <v>233</v>
      </c>
      <c r="G79" s="6" t="s">
        <v>1158</v>
      </c>
      <c r="H79" s="19"/>
      <c r="I79" s="19" t="s">
        <v>234</v>
      </c>
      <c r="J79" s="6" t="s">
        <v>236</v>
      </c>
      <c r="K79" s="6" t="s">
        <v>1288</v>
      </c>
    </row>
    <row r="80" spans="1:14" s="9" customFormat="1" ht="39" hidden="1" x14ac:dyDescent="0.35">
      <c r="B80" s="20" t="s">
        <v>228</v>
      </c>
      <c r="C80" s="17"/>
      <c r="D80" s="17" t="s">
        <v>237</v>
      </c>
      <c r="E80" s="8" t="s">
        <v>1158</v>
      </c>
      <c r="F80" s="17" t="s">
        <v>238</v>
      </c>
      <c r="G80" s="8" t="s">
        <v>1158</v>
      </c>
      <c r="H80" s="17"/>
      <c r="I80" s="17" t="s">
        <v>234</v>
      </c>
      <c r="J80" s="8" t="s">
        <v>1459</v>
      </c>
      <c r="K80" s="8" t="s">
        <v>1289</v>
      </c>
      <c r="L80" s="11"/>
      <c r="M80" s="6"/>
      <c r="N80" s="6"/>
    </row>
    <row r="81" spans="1:14" s="9" customFormat="1" ht="39" hidden="1" x14ac:dyDescent="0.35">
      <c r="B81" s="20" t="s">
        <v>228</v>
      </c>
      <c r="C81" s="17"/>
      <c r="D81" s="17" t="s">
        <v>240</v>
      </c>
      <c r="E81" s="8" t="s">
        <v>1158</v>
      </c>
      <c r="F81" s="17" t="s">
        <v>241</v>
      </c>
      <c r="G81" s="8" t="s">
        <v>1158</v>
      </c>
      <c r="H81" s="17"/>
      <c r="I81" s="17" t="s">
        <v>234</v>
      </c>
      <c r="J81" s="8" t="s">
        <v>1460</v>
      </c>
      <c r="K81" s="8" t="s">
        <v>1290</v>
      </c>
      <c r="L81" s="11"/>
      <c r="M81" s="6"/>
      <c r="N81" s="6"/>
    </row>
    <row r="82" spans="1:14" s="9" customFormat="1" ht="143" hidden="1" x14ac:dyDescent="0.35">
      <c r="B82" s="7" t="s">
        <v>614</v>
      </c>
      <c r="C82" s="10"/>
      <c r="D82" s="8" t="s">
        <v>217</v>
      </c>
      <c r="E82" s="8" t="s">
        <v>1158</v>
      </c>
      <c r="F82" s="8" t="s">
        <v>218</v>
      </c>
      <c r="G82" s="8" t="s">
        <v>1158</v>
      </c>
      <c r="H82" s="8"/>
      <c r="I82" s="8" t="s">
        <v>219</v>
      </c>
      <c r="J82" s="8" t="s">
        <v>220</v>
      </c>
      <c r="K82" s="8" t="s">
        <v>1292</v>
      </c>
      <c r="L82" s="11"/>
      <c r="M82" s="6"/>
      <c r="N82" s="6"/>
    </row>
    <row r="83" spans="1:14" s="9" customFormat="1" ht="104" hidden="1" x14ac:dyDescent="0.35">
      <c r="A83" s="32"/>
      <c r="B83" s="7" t="s">
        <v>614</v>
      </c>
      <c r="C83" s="10"/>
      <c r="D83" s="8" t="s">
        <v>221</v>
      </c>
      <c r="E83" s="8" t="s">
        <v>1158</v>
      </c>
      <c r="F83" s="8" t="s">
        <v>222</v>
      </c>
      <c r="G83" s="8" t="s">
        <v>1158</v>
      </c>
      <c r="H83" s="8"/>
      <c r="I83" s="8" t="s">
        <v>223</v>
      </c>
      <c r="J83" s="8" t="s">
        <v>224</v>
      </c>
      <c r="K83" s="8" t="s">
        <v>1293</v>
      </c>
      <c r="L83" s="11"/>
      <c r="M83" s="6"/>
      <c r="N83" s="6"/>
    </row>
    <row r="84" spans="1:14" s="9" customFormat="1" ht="52" hidden="1" x14ac:dyDescent="0.35">
      <c r="B84" s="7" t="s">
        <v>614</v>
      </c>
      <c r="C84" s="10"/>
      <c r="D84" s="8" t="s">
        <v>225</v>
      </c>
      <c r="E84" s="8" t="s">
        <v>1158</v>
      </c>
      <c r="F84" s="10" t="s">
        <v>226</v>
      </c>
      <c r="G84" s="8" t="s">
        <v>1158</v>
      </c>
      <c r="H84" s="10"/>
      <c r="I84" s="8" t="s">
        <v>219</v>
      </c>
      <c r="J84" s="8" t="s">
        <v>227</v>
      </c>
      <c r="K84" s="8" t="s">
        <v>1294</v>
      </c>
      <c r="L84" s="11"/>
      <c r="M84" s="6"/>
      <c r="N84" s="6"/>
    </row>
    <row r="85" spans="1:14" s="9" customFormat="1" ht="52" hidden="1" x14ac:dyDescent="0.35">
      <c r="B85" s="13" t="s">
        <v>250</v>
      </c>
      <c r="C85" s="17"/>
      <c r="D85" s="17" t="s">
        <v>251</v>
      </c>
      <c r="E85" s="8" t="s">
        <v>1158</v>
      </c>
      <c r="F85" s="17" t="s">
        <v>252</v>
      </c>
      <c r="G85" s="8" t="s">
        <v>1158</v>
      </c>
      <c r="H85" s="17"/>
      <c r="I85" s="17" t="s">
        <v>234</v>
      </c>
      <c r="J85" s="8" t="s">
        <v>1461</v>
      </c>
      <c r="K85" s="8" t="s">
        <v>1296</v>
      </c>
      <c r="L85" s="11"/>
      <c r="M85" s="6"/>
      <c r="N85" s="6"/>
    </row>
    <row r="86" spans="1:14" s="9" customFormat="1" ht="65" hidden="1" x14ac:dyDescent="0.35">
      <c r="B86" s="13" t="s">
        <v>250</v>
      </c>
      <c r="C86" s="17"/>
      <c r="D86" s="17" t="s">
        <v>254</v>
      </c>
      <c r="E86" s="8" t="s">
        <v>1158</v>
      </c>
      <c r="F86" s="17" t="s">
        <v>255</v>
      </c>
      <c r="G86" s="8" t="s">
        <v>1158</v>
      </c>
      <c r="H86" s="17"/>
      <c r="I86" s="17" t="s">
        <v>234</v>
      </c>
      <c r="J86" s="8" t="s">
        <v>1462</v>
      </c>
      <c r="K86" s="8" t="s">
        <v>1297</v>
      </c>
      <c r="L86" s="11"/>
      <c r="M86" s="6"/>
      <c r="N86" s="6"/>
    </row>
    <row r="87" spans="1:14" s="9" customFormat="1" ht="39" hidden="1" x14ac:dyDescent="0.35">
      <c r="B87" s="20" t="s">
        <v>243</v>
      </c>
      <c r="C87" s="17"/>
      <c r="D87" s="17" t="s">
        <v>244</v>
      </c>
      <c r="E87" s="8" t="s">
        <v>1158</v>
      </c>
      <c r="F87" s="17" t="s">
        <v>245</v>
      </c>
      <c r="G87" s="8" t="s">
        <v>1158</v>
      </c>
      <c r="H87" s="17"/>
      <c r="I87" s="17" t="s">
        <v>234</v>
      </c>
      <c r="J87" s="8" t="s">
        <v>1463</v>
      </c>
      <c r="K87" s="8" t="s">
        <v>1299</v>
      </c>
      <c r="L87" s="11"/>
      <c r="M87" s="6"/>
      <c r="N87" s="6"/>
    </row>
    <row r="88" spans="1:14" s="9" customFormat="1" ht="39" hidden="1" x14ac:dyDescent="0.35">
      <c r="B88" s="20" t="s">
        <v>243</v>
      </c>
      <c r="C88" s="17"/>
      <c r="D88" s="17" t="s">
        <v>1300</v>
      </c>
      <c r="E88" s="8" t="s">
        <v>1158</v>
      </c>
      <c r="F88" s="17" t="s">
        <v>248</v>
      </c>
      <c r="G88" s="8" t="s">
        <v>1158</v>
      </c>
      <c r="H88" s="17"/>
      <c r="I88" s="17" t="s">
        <v>234</v>
      </c>
      <c r="J88" s="8" t="s">
        <v>1464</v>
      </c>
      <c r="K88" s="8" t="s">
        <v>1301</v>
      </c>
      <c r="L88" s="11"/>
      <c r="M88" s="6"/>
      <c r="N88" s="6"/>
    </row>
    <row r="89" spans="1:14" ht="78" hidden="1" x14ac:dyDescent="0.35">
      <c r="A89" s="9"/>
      <c r="B89" s="7" t="s">
        <v>257</v>
      </c>
      <c r="C89" s="10"/>
      <c r="D89" s="8" t="s">
        <v>258</v>
      </c>
      <c r="E89" s="8" t="s">
        <v>1158</v>
      </c>
      <c r="F89" s="29" t="s">
        <v>259</v>
      </c>
      <c r="G89" s="6" t="s">
        <v>1158</v>
      </c>
      <c r="H89" s="29"/>
      <c r="I89" s="8" t="s">
        <v>260</v>
      </c>
      <c r="J89" s="8" t="s">
        <v>1465</v>
      </c>
      <c r="K89" s="8" t="s">
        <v>1303</v>
      </c>
      <c r="L89" s="11"/>
    </row>
    <row r="90" spans="1:14" ht="106.9" hidden="1" customHeight="1" x14ac:dyDescent="0.35">
      <c r="A90" s="9"/>
      <c r="B90" s="7" t="s">
        <v>257</v>
      </c>
      <c r="C90" s="10"/>
      <c r="D90" s="8" t="s">
        <v>262</v>
      </c>
      <c r="E90" s="8" t="s">
        <v>1158</v>
      </c>
      <c r="F90" s="29" t="s">
        <v>263</v>
      </c>
      <c r="G90" s="6" t="s">
        <v>1158</v>
      </c>
      <c r="H90" s="29"/>
      <c r="I90" s="8" t="s">
        <v>260</v>
      </c>
      <c r="J90" s="8" t="s">
        <v>1466</v>
      </c>
      <c r="K90" s="8" t="s">
        <v>1304</v>
      </c>
      <c r="L90" s="11"/>
    </row>
    <row r="91" spans="1:14" ht="106.9" hidden="1" customHeight="1" x14ac:dyDescent="0.35">
      <c r="A91" s="9"/>
      <c r="B91" s="7" t="s">
        <v>257</v>
      </c>
      <c r="C91" s="10"/>
      <c r="D91" s="8" t="s">
        <v>265</v>
      </c>
      <c r="E91" s="8" t="s">
        <v>1158</v>
      </c>
      <c r="F91" s="6" t="s">
        <v>266</v>
      </c>
      <c r="G91" s="6" t="s">
        <v>1158</v>
      </c>
      <c r="H91" s="6"/>
      <c r="I91" s="8" t="s">
        <v>260</v>
      </c>
      <c r="J91" s="8" t="s">
        <v>1467</v>
      </c>
      <c r="K91" s="8" t="s">
        <v>1305</v>
      </c>
      <c r="L91" s="11"/>
    </row>
    <row r="92" spans="1:14" ht="106.9" hidden="1" customHeight="1" x14ac:dyDescent="0.35">
      <c r="A92" s="9"/>
      <c r="B92" s="7" t="s">
        <v>257</v>
      </c>
      <c r="C92" s="10"/>
      <c r="D92" s="8" t="s">
        <v>268</v>
      </c>
      <c r="E92" s="8" t="s">
        <v>1158</v>
      </c>
      <c r="F92" s="6" t="s">
        <v>269</v>
      </c>
      <c r="G92" s="6" t="s">
        <v>1158</v>
      </c>
      <c r="H92" s="6"/>
      <c r="I92" s="8" t="s">
        <v>260</v>
      </c>
      <c r="J92" s="8" t="s">
        <v>1468</v>
      </c>
      <c r="K92" s="8" t="s">
        <v>1306</v>
      </c>
      <c r="L92" s="11"/>
    </row>
    <row r="93" spans="1:14" ht="106.9" hidden="1" customHeight="1" x14ac:dyDescent="0.35">
      <c r="A93" s="9"/>
      <c r="B93" s="7" t="s">
        <v>257</v>
      </c>
      <c r="C93" s="10"/>
      <c r="D93" s="8" t="s">
        <v>271</v>
      </c>
      <c r="E93" s="8" t="s">
        <v>1158</v>
      </c>
      <c r="F93" s="29" t="s">
        <v>272</v>
      </c>
      <c r="G93" s="6" t="s">
        <v>1158</v>
      </c>
      <c r="H93" s="29"/>
      <c r="I93" s="8" t="s">
        <v>260</v>
      </c>
      <c r="J93" s="8" t="s">
        <v>1469</v>
      </c>
      <c r="K93" s="8" t="s">
        <v>1307</v>
      </c>
      <c r="L93" s="11"/>
    </row>
    <row r="94" spans="1:14" ht="106.9" hidden="1" customHeight="1" x14ac:dyDescent="0.35">
      <c r="A94" s="9"/>
      <c r="B94" s="7" t="s">
        <v>257</v>
      </c>
      <c r="C94" s="10"/>
      <c r="D94" s="8" t="s">
        <v>274</v>
      </c>
      <c r="E94" s="8" t="s">
        <v>1158</v>
      </c>
      <c r="F94" s="29" t="s">
        <v>275</v>
      </c>
      <c r="G94" s="6" t="s">
        <v>1158</v>
      </c>
      <c r="H94" s="29"/>
      <c r="I94" s="8" t="s">
        <v>260</v>
      </c>
      <c r="J94" s="8" t="s">
        <v>1470</v>
      </c>
      <c r="K94" s="8" t="s">
        <v>1308</v>
      </c>
      <c r="L94" s="11"/>
    </row>
    <row r="95" spans="1:14" ht="106.9" hidden="1" customHeight="1" x14ac:dyDescent="0.35">
      <c r="A95" s="9"/>
      <c r="B95" s="7" t="s">
        <v>257</v>
      </c>
      <c r="C95" s="10"/>
      <c r="D95" s="8" t="s">
        <v>277</v>
      </c>
      <c r="E95" s="8" t="s">
        <v>1158</v>
      </c>
      <c r="F95" s="30" t="s">
        <v>278</v>
      </c>
      <c r="G95" s="6" t="s">
        <v>1158</v>
      </c>
      <c r="H95" s="30"/>
      <c r="I95" s="8" t="s">
        <v>260</v>
      </c>
      <c r="J95" s="8" t="s">
        <v>1471</v>
      </c>
      <c r="K95" s="8" t="s">
        <v>1309</v>
      </c>
      <c r="L95" s="11"/>
    </row>
    <row r="96" spans="1:14" ht="106.9" hidden="1" customHeight="1" x14ac:dyDescent="0.35">
      <c r="A96" s="9"/>
      <c r="B96" s="7" t="s">
        <v>257</v>
      </c>
      <c r="C96" s="10"/>
      <c r="D96" s="8" t="s">
        <v>280</v>
      </c>
      <c r="E96" s="8" t="s">
        <v>1158</v>
      </c>
      <c r="F96" s="30" t="s">
        <v>281</v>
      </c>
      <c r="G96" s="6" t="s">
        <v>1158</v>
      </c>
      <c r="H96" s="30"/>
      <c r="I96" s="8" t="s">
        <v>260</v>
      </c>
      <c r="J96" s="8" t="s">
        <v>1472</v>
      </c>
      <c r="K96" s="8" t="s">
        <v>1310</v>
      </c>
      <c r="L96" s="11"/>
    </row>
    <row r="97" spans="1:12" ht="106.9" hidden="1" customHeight="1" x14ac:dyDescent="0.35">
      <c r="A97" s="9"/>
      <c r="B97" s="7" t="s">
        <v>257</v>
      </c>
      <c r="C97" s="10"/>
      <c r="D97" s="8" t="s">
        <v>283</v>
      </c>
      <c r="E97" s="8" t="s">
        <v>1158</v>
      </c>
      <c r="F97" s="29" t="s">
        <v>284</v>
      </c>
      <c r="G97" s="6" t="s">
        <v>1158</v>
      </c>
      <c r="H97" s="29"/>
      <c r="I97" s="8" t="s">
        <v>260</v>
      </c>
      <c r="J97" s="8" t="s">
        <v>1473</v>
      </c>
      <c r="K97" s="8" t="s">
        <v>1311</v>
      </c>
      <c r="L97" s="11"/>
    </row>
    <row r="98" spans="1:12" ht="106.9" hidden="1" customHeight="1" x14ac:dyDescent="0.35">
      <c r="A98" s="9"/>
      <c r="B98" s="7" t="s">
        <v>257</v>
      </c>
      <c r="C98" s="10"/>
      <c r="D98" s="8" t="s">
        <v>286</v>
      </c>
      <c r="E98" s="8" t="s">
        <v>1158</v>
      </c>
      <c r="F98" s="29" t="s">
        <v>287</v>
      </c>
      <c r="G98" s="6" t="s">
        <v>1158</v>
      </c>
      <c r="H98" s="29"/>
      <c r="I98" s="8" t="s">
        <v>260</v>
      </c>
      <c r="J98" s="8" t="s">
        <v>1474</v>
      </c>
      <c r="K98" s="8" t="s">
        <v>1312</v>
      </c>
      <c r="L98" s="11"/>
    </row>
    <row r="99" spans="1:12" ht="106.9" hidden="1" customHeight="1" x14ac:dyDescent="0.35">
      <c r="A99" s="9"/>
      <c r="B99" s="7" t="s">
        <v>257</v>
      </c>
      <c r="C99" s="10"/>
      <c r="D99" s="8" t="s">
        <v>289</v>
      </c>
      <c r="E99" s="8" t="s">
        <v>1158</v>
      </c>
      <c r="F99" s="6" t="s">
        <v>290</v>
      </c>
      <c r="G99" s="6" t="s">
        <v>1158</v>
      </c>
      <c r="H99" s="6"/>
      <c r="I99" s="8" t="s">
        <v>7</v>
      </c>
      <c r="J99" s="8" t="s">
        <v>1475</v>
      </c>
      <c r="K99" s="8" t="s">
        <v>1313</v>
      </c>
      <c r="L99" s="11"/>
    </row>
    <row r="100" spans="1:12" ht="106.9" hidden="1" customHeight="1" x14ac:dyDescent="0.35">
      <c r="A100" s="9"/>
      <c r="B100" s="7" t="s">
        <v>257</v>
      </c>
      <c r="C100" s="10"/>
      <c r="D100" s="8" t="s">
        <v>292</v>
      </c>
      <c r="E100" s="8" t="s">
        <v>1158</v>
      </c>
      <c r="F100" s="30" t="s">
        <v>278</v>
      </c>
      <c r="G100" s="6" t="s">
        <v>1158</v>
      </c>
      <c r="H100" s="30"/>
      <c r="I100" s="8" t="s">
        <v>7</v>
      </c>
      <c r="J100" s="8" t="s">
        <v>293</v>
      </c>
      <c r="K100" s="8" t="s">
        <v>1314</v>
      </c>
      <c r="L100" s="11"/>
    </row>
    <row r="101" spans="1:12" ht="106.9" hidden="1" customHeight="1" x14ac:dyDescent="0.35">
      <c r="A101" s="9"/>
      <c r="B101" s="14" t="s">
        <v>257</v>
      </c>
      <c r="C101" s="15"/>
      <c r="D101" s="17" t="s">
        <v>294</v>
      </c>
      <c r="E101" s="8" t="s">
        <v>1158</v>
      </c>
      <c r="F101" s="19" t="s">
        <v>295</v>
      </c>
      <c r="G101" s="6" t="s">
        <v>1158</v>
      </c>
      <c r="H101" s="19"/>
      <c r="I101" s="17" t="s">
        <v>7</v>
      </c>
      <c r="J101" s="8" t="s">
        <v>1476</v>
      </c>
      <c r="K101" s="8" t="s">
        <v>1315</v>
      </c>
      <c r="L101" s="11"/>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F31E-965E-4E2B-B2FC-C25DA1B5008E}">
  <dimension ref="A1:N14"/>
  <sheetViews>
    <sheetView zoomScale="83" zoomScaleNormal="82" workbookViewId="0">
      <selection activeCell="D5" sqref="D5"/>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customWidth="1"/>
    <col min="6" max="6" width="42.1796875" style="6" customWidth="1"/>
    <col min="7" max="7" width="13.7265625" style="9" customWidth="1"/>
    <col min="8" max="8" width="15.7265625" style="9" customWidth="1"/>
    <col min="9" max="9" width="29.54296875" style="9" customWidth="1"/>
    <col min="10" max="10" width="56.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339</v>
      </c>
      <c r="E1" s="1" t="s">
        <v>1154</v>
      </c>
      <c r="F1" s="1" t="s">
        <v>1155</v>
      </c>
      <c r="G1" s="1" t="s">
        <v>1156</v>
      </c>
      <c r="H1" s="2" t="s">
        <v>1085</v>
      </c>
      <c r="I1" s="2" t="s">
        <v>1157</v>
      </c>
      <c r="J1" s="3" t="s">
        <v>1086</v>
      </c>
      <c r="K1" s="4" t="s">
        <v>676</v>
      </c>
      <c r="L1" s="1" t="s">
        <v>345</v>
      </c>
      <c r="M1" s="3" t="s">
        <v>346</v>
      </c>
      <c r="N1" s="5" t="s">
        <v>347</v>
      </c>
    </row>
    <row r="2" spans="1:14" ht="78" x14ac:dyDescent="0.35">
      <c r="A2" s="9"/>
      <c r="B2" s="7" t="s">
        <v>1375</v>
      </c>
      <c r="C2" s="10"/>
      <c r="D2" s="8" t="s">
        <v>258</v>
      </c>
      <c r="E2" s="8" t="s">
        <v>1158</v>
      </c>
      <c r="F2" s="29" t="s">
        <v>259</v>
      </c>
      <c r="G2" s="6" t="s">
        <v>1158</v>
      </c>
      <c r="H2" s="29"/>
      <c r="I2" s="8" t="s">
        <v>260</v>
      </c>
      <c r="J2" s="8" t="s">
        <v>1465</v>
      </c>
      <c r="K2" s="8" t="s">
        <v>1303</v>
      </c>
      <c r="L2" s="11"/>
    </row>
    <row r="3" spans="1:14" ht="106.9" customHeight="1" x14ac:dyDescent="0.35">
      <c r="A3" s="9"/>
      <c r="B3" s="7" t="s">
        <v>1375</v>
      </c>
      <c r="C3" s="10"/>
      <c r="D3" s="8" t="s">
        <v>262</v>
      </c>
      <c r="E3" s="8" t="s">
        <v>1158</v>
      </c>
      <c r="F3" s="29" t="s">
        <v>263</v>
      </c>
      <c r="G3" s="6" t="s">
        <v>1158</v>
      </c>
      <c r="H3" s="29"/>
      <c r="I3" s="8" t="s">
        <v>260</v>
      </c>
      <c r="J3" s="8" t="s">
        <v>1466</v>
      </c>
      <c r="K3" s="8" t="s">
        <v>1304</v>
      </c>
      <c r="L3" s="11"/>
    </row>
    <row r="4" spans="1:14" ht="106.9" customHeight="1" x14ac:dyDescent="0.35">
      <c r="A4" s="9"/>
      <c r="B4" s="7" t="s">
        <v>1375</v>
      </c>
      <c r="C4" s="10"/>
      <c r="D4" s="8" t="s">
        <v>265</v>
      </c>
      <c r="E4" s="8" t="s">
        <v>1158</v>
      </c>
      <c r="F4" s="6" t="s">
        <v>266</v>
      </c>
      <c r="G4" s="6" t="s">
        <v>1158</v>
      </c>
      <c r="H4" s="6"/>
      <c r="I4" s="8" t="s">
        <v>260</v>
      </c>
      <c r="J4" s="8" t="s">
        <v>1467</v>
      </c>
      <c r="K4" s="8" t="s">
        <v>1305</v>
      </c>
      <c r="L4" s="11"/>
    </row>
    <row r="5" spans="1:14" ht="106.9" customHeight="1" x14ac:dyDescent="0.35">
      <c r="A5" s="9"/>
      <c r="B5" s="7" t="s">
        <v>1375</v>
      </c>
      <c r="C5" s="10"/>
      <c r="D5" s="8" t="s">
        <v>268</v>
      </c>
      <c r="E5" s="8" t="s">
        <v>1158</v>
      </c>
      <c r="F5" s="6" t="s">
        <v>269</v>
      </c>
      <c r="G5" s="6" t="s">
        <v>1158</v>
      </c>
      <c r="H5" s="6"/>
      <c r="I5" s="8" t="s">
        <v>260</v>
      </c>
      <c r="J5" s="8" t="s">
        <v>1468</v>
      </c>
      <c r="K5" s="8" t="s">
        <v>1306</v>
      </c>
      <c r="L5" s="11"/>
    </row>
    <row r="6" spans="1:14" ht="106.9" customHeight="1" x14ac:dyDescent="0.35">
      <c r="A6" s="9"/>
      <c r="B6" s="7" t="s">
        <v>1375</v>
      </c>
      <c r="C6" s="10"/>
      <c r="D6" s="8" t="s">
        <v>271</v>
      </c>
      <c r="E6" s="8" t="s">
        <v>1158</v>
      </c>
      <c r="F6" s="29" t="s">
        <v>272</v>
      </c>
      <c r="G6" s="6" t="s">
        <v>1158</v>
      </c>
      <c r="H6" s="29"/>
      <c r="I6" s="8" t="s">
        <v>260</v>
      </c>
      <c r="J6" s="8" t="s">
        <v>1469</v>
      </c>
      <c r="K6" s="8" t="s">
        <v>1307</v>
      </c>
      <c r="L6" s="11"/>
    </row>
    <row r="7" spans="1:14" ht="106.9" customHeight="1" x14ac:dyDescent="0.35">
      <c r="A7" s="9"/>
      <c r="B7" s="7" t="s">
        <v>1375</v>
      </c>
      <c r="C7" s="10"/>
      <c r="D7" s="8" t="s">
        <v>274</v>
      </c>
      <c r="E7" s="8" t="s">
        <v>1158</v>
      </c>
      <c r="F7" s="29" t="s">
        <v>275</v>
      </c>
      <c r="G7" s="6" t="s">
        <v>1158</v>
      </c>
      <c r="H7" s="29"/>
      <c r="I7" s="8" t="s">
        <v>260</v>
      </c>
      <c r="J7" s="8" t="s">
        <v>1470</v>
      </c>
      <c r="K7" s="8" t="s">
        <v>1308</v>
      </c>
      <c r="L7" s="11"/>
    </row>
    <row r="8" spans="1:14" ht="106.9" customHeight="1" x14ac:dyDescent="0.35">
      <c r="A8" s="9"/>
      <c r="B8" s="7" t="s">
        <v>1375</v>
      </c>
      <c r="C8" s="10"/>
      <c r="D8" s="8" t="s">
        <v>277</v>
      </c>
      <c r="E8" s="8" t="s">
        <v>1158</v>
      </c>
      <c r="F8" s="30" t="s">
        <v>278</v>
      </c>
      <c r="G8" s="6" t="s">
        <v>1158</v>
      </c>
      <c r="H8" s="30"/>
      <c r="I8" s="8" t="s">
        <v>260</v>
      </c>
      <c r="J8" s="8" t="s">
        <v>1471</v>
      </c>
      <c r="K8" s="8" t="s">
        <v>1309</v>
      </c>
      <c r="L8" s="11"/>
    </row>
    <row r="9" spans="1:14" ht="106.9" customHeight="1" x14ac:dyDescent="0.35">
      <c r="A9" s="9"/>
      <c r="B9" s="7" t="s">
        <v>1375</v>
      </c>
      <c r="C9" s="10"/>
      <c r="D9" s="8" t="s">
        <v>280</v>
      </c>
      <c r="E9" s="8" t="s">
        <v>1158</v>
      </c>
      <c r="F9" s="30" t="s">
        <v>281</v>
      </c>
      <c r="G9" s="6" t="s">
        <v>1158</v>
      </c>
      <c r="H9" s="30"/>
      <c r="I9" s="8" t="s">
        <v>260</v>
      </c>
      <c r="J9" s="8" t="s">
        <v>1472</v>
      </c>
      <c r="K9" s="8" t="s">
        <v>1310</v>
      </c>
      <c r="L9" s="11"/>
    </row>
    <row r="10" spans="1:14" ht="106.9" customHeight="1" x14ac:dyDescent="0.35">
      <c r="A10" s="9"/>
      <c r="B10" s="7" t="s">
        <v>1375</v>
      </c>
      <c r="C10" s="10"/>
      <c r="D10" s="8" t="s">
        <v>283</v>
      </c>
      <c r="E10" s="8" t="s">
        <v>1158</v>
      </c>
      <c r="F10" s="29" t="s">
        <v>284</v>
      </c>
      <c r="G10" s="6" t="s">
        <v>1158</v>
      </c>
      <c r="H10" s="29"/>
      <c r="I10" s="8" t="s">
        <v>260</v>
      </c>
      <c r="J10" s="8" t="s">
        <v>1473</v>
      </c>
      <c r="K10" s="8" t="s">
        <v>1311</v>
      </c>
      <c r="L10" s="11"/>
    </row>
    <row r="11" spans="1:14" ht="106.9" customHeight="1" x14ac:dyDescent="0.35">
      <c r="A11" s="9"/>
      <c r="B11" s="7" t="s">
        <v>1375</v>
      </c>
      <c r="C11" s="10"/>
      <c r="D11" s="8" t="s">
        <v>286</v>
      </c>
      <c r="E11" s="8" t="s">
        <v>1158</v>
      </c>
      <c r="F11" s="29" t="s">
        <v>287</v>
      </c>
      <c r="G11" s="6" t="s">
        <v>1158</v>
      </c>
      <c r="H11" s="29"/>
      <c r="I11" s="8" t="s">
        <v>260</v>
      </c>
      <c r="J11" s="8" t="s">
        <v>1474</v>
      </c>
      <c r="K11" s="8" t="s">
        <v>1312</v>
      </c>
      <c r="L11" s="11"/>
    </row>
    <row r="12" spans="1:14" ht="106.9" customHeight="1" x14ac:dyDescent="0.35">
      <c r="A12" s="9"/>
      <c r="B12" s="7" t="s">
        <v>1375</v>
      </c>
      <c r="C12" s="10"/>
      <c r="D12" s="8" t="s">
        <v>289</v>
      </c>
      <c r="E12" s="8" t="s">
        <v>1158</v>
      </c>
      <c r="F12" s="6" t="s">
        <v>290</v>
      </c>
      <c r="G12" s="6" t="s">
        <v>1158</v>
      </c>
      <c r="H12" s="6"/>
      <c r="I12" s="8" t="s">
        <v>7</v>
      </c>
      <c r="J12" s="8" t="s">
        <v>1475</v>
      </c>
      <c r="K12" s="8" t="s">
        <v>1313</v>
      </c>
      <c r="L12" s="11"/>
    </row>
    <row r="13" spans="1:14" ht="106.9" customHeight="1" x14ac:dyDescent="0.35">
      <c r="A13" s="9"/>
      <c r="B13" s="7" t="s">
        <v>1375</v>
      </c>
      <c r="C13" s="10"/>
      <c r="D13" s="8" t="s">
        <v>292</v>
      </c>
      <c r="E13" s="8" t="s">
        <v>1158</v>
      </c>
      <c r="F13" s="30" t="s">
        <v>278</v>
      </c>
      <c r="G13" s="6" t="s">
        <v>1158</v>
      </c>
      <c r="H13" s="30"/>
      <c r="I13" s="8" t="s">
        <v>7</v>
      </c>
      <c r="J13" s="8" t="s">
        <v>293</v>
      </c>
      <c r="K13" s="8" t="s">
        <v>1314</v>
      </c>
      <c r="L13" s="11"/>
    </row>
    <row r="14" spans="1:14" ht="106.9" customHeight="1" x14ac:dyDescent="0.35">
      <c r="A14" s="9"/>
      <c r="B14" s="7" t="s">
        <v>1375</v>
      </c>
      <c r="C14" s="15"/>
      <c r="D14" s="17" t="s">
        <v>294</v>
      </c>
      <c r="E14" s="8" t="s">
        <v>1158</v>
      </c>
      <c r="F14" s="19" t="s">
        <v>295</v>
      </c>
      <c r="G14" s="6" t="s">
        <v>1158</v>
      </c>
      <c r="H14" s="19"/>
      <c r="I14" s="17" t="s">
        <v>7</v>
      </c>
      <c r="J14" s="8" t="s">
        <v>1476</v>
      </c>
      <c r="K14" s="8" t="s">
        <v>1315</v>
      </c>
      <c r="L14" s="11"/>
    </row>
  </sheetData>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A40B-0F87-4829-AB42-18256449F26E}">
  <dimension ref="A1:X14"/>
  <sheetViews>
    <sheetView zoomScale="85" zoomScaleNormal="85" workbookViewId="0">
      <pane xSplit="3" ySplit="1" topLeftCell="J11" activePane="bottomRight" state="frozen"/>
      <selection pane="topRight" activeCell="D1" sqref="D1"/>
      <selection pane="bottomLeft" activeCell="A2" sqref="A2"/>
      <selection pane="bottomRight" activeCell="A2" sqref="A2:XFD14"/>
    </sheetView>
  </sheetViews>
  <sheetFormatPr defaultColWidth="38" defaultRowHeight="14.5" x14ac:dyDescent="0.35"/>
  <cols>
    <col min="1" max="1" width="3.81640625" style="36" customWidth="1"/>
    <col min="2" max="2" width="22.7265625" style="36" customWidth="1"/>
    <col min="3" max="3" width="16.1796875" style="36" customWidth="1"/>
    <col min="4" max="4" width="11.26953125" style="36" customWidth="1"/>
    <col min="5" max="5" width="38" style="36"/>
    <col min="6" max="6" width="20.7265625" style="36" customWidth="1"/>
    <col min="7" max="7" width="16.81640625" style="36" customWidth="1"/>
    <col min="8" max="8" width="37.81640625" style="36" bestFit="1" customWidth="1"/>
    <col min="9" max="9" width="23.7265625" style="36" customWidth="1"/>
    <col min="10" max="10" width="29.26953125" style="36" customWidth="1"/>
    <col min="11" max="11" width="30.54296875" style="36" customWidth="1"/>
    <col min="12" max="12" width="18" style="36" customWidth="1"/>
    <col min="13" max="13" width="17.54296875" style="36" customWidth="1"/>
    <col min="14" max="14" width="21" style="36" customWidth="1"/>
    <col min="15" max="15" width="13.7265625" style="36" customWidth="1"/>
    <col min="16" max="16" width="27.81640625" style="36" customWidth="1"/>
    <col min="17" max="17" width="10.81640625" style="36" customWidth="1"/>
    <col min="18" max="18" width="19.54296875" style="36" customWidth="1"/>
    <col min="19" max="19" width="22" style="36" customWidth="1"/>
    <col min="20" max="20" width="46" style="36" customWidth="1"/>
    <col min="21" max="21" width="37.54296875" style="36" bestFit="1" customWidth="1"/>
    <col min="22" max="22" width="24.26953125" style="36" customWidth="1"/>
    <col min="23" max="23" width="26.54296875" style="36" customWidth="1"/>
    <col min="24" max="24" width="42.7265625" style="36" customWidth="1"/>
    <col min="25" max="16384" width="38" style="36"/>
  </cols>
  <sheetData>
    <row r="1" spans="1:24" x14ac:dyDescent="0.35">
      <c r="A1" s="40" t="s">
        <v>0</v>
      </c>
      <c r="B1" s="40" t="s">
        <v>1</v>
      </c>
      <c r="C1" s="41" t="s">
        <v>2</v>
      </c>
      <c r="D1" s="42" t="s">
        <v>3</v>
      </c>
      <c r="E1" s="42" t="s">
        <v>4</v>
      </c>
      <c r="F1" s="42" t="s">
        <v>1477</v>
      </c>
      <c r="G1" s="42" t="s">
        <v>1478</v>
      </c>
      <c r="H1" s="40" t="s">
        <v>5</v>
      </c>
      <c r="I1" s="40" t="s">
        <v>6</v>
      </c>
      <c r="J1" s="40" t="s">
        <v>7</v>
      </c>
      <c r="K1" s="40" t="s">
        <v>8</v>
      </c>
      <c r="L1" s="40" t="s">
        <v>9</v>
      </c>
      <c r="M1" s="40" t="s">
        <v>10</v>
      </c>
      <c r="N1" s="40" t="s">
        <v>11</v>
      </c>
      <c r="O1" s="40" t="s">
        <v>12</v>
      </c>
      <c r="P1" s="40" t="s">
        <v>13</v>
      </c>
      <c r="Q1" s="40" t="s">
        <v>14</v>
      </c>
      <c r="R1" s="40" t="s">
        <v>15</v>
      </c>
      <c r="S1" s="40" t="s">
        <v>16</v>
      </c>
      <c r="T1" s="40" t="s">
        <v>17</v>
      </c>
      <c r="U1" s="42" t="s">
        <v>18</v>
      </c>
      <c r="V1" s="42" t="s">
        <v>1479</v>
      </c>
      <c r="W1" s="40" t="s">
        <v>1480</v>
      </c>
      <c r="X1" s="43" t="s">
        <v>1481</v>
      </c>
    </row>
    <row r="2" spans="1:24" ht="91" x14ac:dyDescent="0.35">
      <c r="A2" s="37"/>
      <c r="B2" s="37" t="s">
        <v>257</v>
      </c>
      <c r="C2" s="38" t="s">
        <v>258</v>
      </c>
      <c r="D2" s="37" t="s">
        <v>45</v>
      </c>
      <c r="E2" s="37" t="s">
        <v>259</v>
      </c>
      <c r="F2" s="37"/>
      <c r="G2" s="38" t="s">
        <v>24</v>
      </c>
      <c r="H2" s="38" t="s">
        <v>260</v>
      </c>
      <c r="I2" s="37" t="s">
        <v>25</v>
      </c>
      <c r="J2" s="37" t="s">
        <v>25</v>
      </c>
      <c r="K2" s="37" t="s">
        <v>24</v>
      </c>
      <c r="L2" s="37" t="s">
        <v>24</v>
      </c>
      <c r="M2" s="37" t="s">
        <v>24</v>
      </c>
      <c r="N2" s="37" t="s">
        <v>24</v>
      </c>
      <c r="O2" s="37" t="s">
        <v>24</v>
      </c>
      <c r="P2" s="37" t="s">
        <v>24</v>
      </c>
      <c r="Q2" s="37" t="s">
        <v>24</v>
      </c>
      <c r="R2" s="37"/>
      <c r="S2" s="37"/>
      <c r="T2" s="37"/>
      <c r="U2" s="37" t="s">
        <v>1482</v>
      </c>
      <c r="V2" s="38"/>
      <c r="W2" s="38" t="s">
        <v>1158</v>
      </c>
      <c r="X2" s="39" t="s">
        <v>25</v>
      </c>
    </row>
    <row r="3" spans="1:24" ht="65" x14ac:dyDescent="0.35">
      <c r="A3" s="37"/>
      <c r="B3" s="37" t="s">
        <v>257</v>
      </c>
      <c r="C3" s="38" t="s">
        <v>262</v>
      </c>
      <c r="D3" s="37" t="s">
        <v>45</v>
      </c>
      <c r="E3" s="37" t="s">
        <v>263</v>
      </c>
      <c r="F3" s="37"/>
      <c r="G3" s="38" t="s">
        <v>24</v>
      </c>
      <c r="H3" s="38" t="s">
        <v>260</v>
      </c>
      <c r="I3" s="37" t="s">
        <v>25</v>
      </c>
      <c r="J3" s="37" t="s">
        <v>25</v>
      </c>
      <c r="K3" s="37" t="s">
        <v>24</v>
      </c>
      <c r="L3" s="37" t="s">
        <v>24</v>
      </c>
      <c r="M3" s="37" t="s">
        <v>24</v>
      </c>
      <c r="N3" s="37" t="s">
        <v>24</v>
      </c>
      <c r="O3" s="37" t="s">
        <v>24</v>
      </c>
      <c r="P3" s="37" t="s">
        <v>24</v>
      </c>
      <c r="Q3" s="37" t="s">
        <v>24</v>
      </c>
      <c r="R3" s="37"/>
      <c r="S3" s="37"/>
      <c r="T3" s="37"/>
      <c r="U3" s="37" t="s">
        <v>1483</v>
      </c>
      <c r="V3" s="38"/>
      <c r="W3" s="38" t="s">
        <v>1158</v>
      </c>
      <c r="X3" s="39" t="s">
        <v>25</v>
      </c>
    </row>
    <row r="4" spans="1:24" ht="52" x14ac:dyDescent="0.35">
      <c r="A4" s="37"/>
      <c r="B4" s="37" t="s">
        <v>257</v>
      </c>
      <c r="C4" s="38" t="s">
        <v>265</v>
      </c>
      <c r="D4" s="37" t="s">
        <v>45</v>
      </c>
      <c r="E4" s="38" t="s">
        <v>266</v>
      </c>
      <c r="F4" s="38"/>
      <c r="G4" s="38" t="s">
        <v>24</v>
      </c>
      <c r="H4" s="38" t="s">
        <v>260</v>
      </c>
      <c r="I4" s="38" t="s">
        <v>25</v>
      </c>
      <c r="J4" s="38" t="s">
        <v>25</v>
      </c>
      <c r="K4" s="37" t="s">
        <v>24</v>
      </c>
      <c r="L4" s="37" t="s">
        <v>24</v>
      </c>
      <c r="M4" s="37" t="s">
        <v>24</v>
      </c>
      <c r="N4" s="37" t="s">
        <v>24</v>
      </c>
      <c r="O4" s="37" t="s">
        <v>24</v>
      </c>
      <c r="P4" s="37" t="s">
        <v>24</v>
      </c>
      <c r="Q4" s="37" t="s">
        <v>24</v>
      </c>
      <c r="R4" s="37"/>
      <c r="S4" s="37"/>
      <c r="T4" s="37"/>
      <c r="U4" s="37" t="s">
        <v>1467</v>
      </c>
      <c r="V4" s="38"/>
      <c r="W4" s="38"/>
      <c r="X4" s="38" t="s">
        <v>24</v>
      </c>
    </row>
    <row r="5" spans="1:24" ht="52" x14ac:dyDescent="0.35">
      <c r="A5" s="37"/>
      <c r="B5" s="37" t="s">
        <v>257</v>
      </c>
      <c r="C5" s="38" t="s">
        <v>268</v>
      </c>
      <c r="D5" s="37" t="s">
        <v>45</v>
      </c>
      <c r="E5" s="38" t="s">
        <v>269</v>
      </c>
      <c r="F5" s="38"/>
      <c r="G5" s="38" t="s">
        <v>24</v>
      </c>
      <c r="H5" s="38" t="s">
        <v>260</v>
      </c>
      <c r="I5" s="38" t="s">
        <v>25</v>
      </c>
      <c r="J5" s="38" t="s">
        <v>25</v>
      </c>
      <c r="K5" s="37" t="s">
        <v>24</v>
      </c>
      <c r="L5" s="37" t="s">
        <v>24</v>
      </c>
      <c r="M5" s="37" t="s">
        <v>24</v>
      </c>
      <c r="N5" s="37" t="s">
        <v>24</v>
      </c>
      <c r="O5" s="37" t="s">
        <v>24</v>
      </c>
      <c r="P5" s="37" t="s">
        <v>24</v>
      </c>
      <c r="Q5" s="37" t="s">
        <v>24</v>
      </c>
      <c r="R5" s="37"/>
      <c r="S5" s="37"/>
      <c r="T5" s="37"/>
      <c r="U5" s="37" t="s">
        <v>1468</v>
      </c>
      <c r="V5" s="38"/>
      <c r="W5" s="38"/>
      <c r="X5" s="38" t="s">
        <v>24</v>
      </c>
    </row>
    <row r="6" spans="1:24" ht="65" x14ac:dyDescent="0.35">
      <c r="A6" s="37"/>
      <c r="B6" s="37" t="s">
        <v>257</v>
      </c>
      <c r="C6" s="38" t="s">
        <v>271</v>
      </c>
      <c r="D6" s="37" t="s">
        <v>39</v>
      </c>
      <c r="E6" s="37" t="s">
        <v>272</v>
      </c>
      <c r="F6" s="37"/>
      <c r="G6" s="38" t="s">
        <v>24</v>
      </c>
      <c r="H6" s="38" t="s">
        <v>260</v>
      </c>
      <c r="I6" s="37" t="s">
        <v>25</v>
      </c>
      <c r="J6" s="37" t="s">
        <v>25</v>
      </c>
      <c r="K6" s="37" t="s">
        <v>24</v>
      </c>
      <c r="L6" s="37" t="s">
        <v>24</v>
      </c>
      <c r="M6" s="37" t="s">
        <v>24</v>
      </c>
      <c r="N6" s="37" t="s">
        <v>24</v>
      </c>
      <c r="O6" s="37" t="s">
        <v>24</v>
      </c>
      <c r="P6" s="37" t="s">
        <v>24</v>
      </c>
      <c r="Q6" s="37" t="s">
        <v>24</v>
      </c>
      <c r="R6" s="37"/>
      <c r="S6" s="37"/>
      <c r="T6" s="37"/>
      <c r="U6" s="37" t="s">
        <v>1469</v>
      </c>
      <c r="V6" s="38" t="s">
        <v>25</v>
      </c>
      <c r="W6" s="38" t="s">
        <v>1158</v>
      </c>
      <c r="X6" s="38" t="s">
        <v>25</v>
      </c>
    </row>
    <row r="7" spans="1:24" ht="52" x14ac:dyDescent="0.35">
      <c r="A7" s="37"/>
      <c r="B7" s="37" t="s">
        <v>257</v>
      </c>
      <c r="C7" s="38" t="s">
        <v>274</v>
      </c>
      <c r="D7" s="37" t="s">
        <v>45</v>
      </c>
      <c r="E7" s="37" t="s">
        <v>275</v>
      </c>
      <c r="F7" s="37"/>
      <c r="G7" s="38" t="s">
        <v>24</v>
      </c>
      <c r="H7" s="38" t="s">
        <v>260</v>
      </c>
      <c r="I7" s="37" t="s">
        <v>25</v>
      </c>
      <c r="J7" s="37" t="s">
        <v>25</v>
      </c>
      <c r="K7" s="37" t="s">
        <v>24</v>
      </c>
      <c r="L7" s="37" t="s">
        <v>24</v>
      </c>
      <c r="M7" s="37" t="s">
        <v>24</v>
      </c>
      <c r="N7" s="37" t="s">
        <v>24</v>
      </c>
      <c r="O7" s="37" t="s">
        <v>24</v>
      </c>
      <c r="P7" s="37" t="s">
        <v>24</v>
      </c>
      <c r="Q7" s="37" t="s">
        <v>24</v>
      </c>
      <c r="R7" s="37"/>
      <c r="S7" s="37"/>
      <c r="T7" s="37"/>
      <c r="U7" s="37" t="s">
        <v>1470</v>
      </c>
      <c r="V7" s="38" t="s">
        <v>25</v>
      </c>
      <c r="W7" s="38" t="s">
        <v>1158</v>
      </c>
      <c r="X7" s="38" t="s">
        <v>25</v>
      </c>
    </row>
    <row r="8" spans="1:24" ht="78" x14ac:dyDescent="0.35">
      <c r="A8" s="37"/>
      <c r="B8" s="37" t="s">
        <v>257</v>
      </c>
      <c r="C8" s="38" t="s">
        <v>277</v>
      </c>
      <c r="D8" s="37" t="s">
        <v>45</v>
      </c>
      <c r="E8" s="37" t="s">
        <v>278</v>
      </c>
      <c r="F8" s="37"/>
      <c r="G8" s="38" t="s">
        <v>24</v>
      </c>
      <c r="H8" s="38" t="s">
        <v>260</v>
      </c>
      <c r="I8" s="37" t="s">
        <v>25</v>
      </c>
      <c r="J8" s="37" t="s">
        <v>25</v>
      </c>
      <c r="K8" s="37" t="s">
        <v>24</v>
      </c>
      <c r="L8" s="37" t="s">
        <v>24</v>
      </c>
      <c r="M8" s="37" t="s">
        <v>24</v>
      </c>
      <c r="N8" s="37" t="s">
        <v>24</v>
      </c>
      <c r="O8" s="37" t="s">
        <v>24</v>
      </c>
      <c r="P8" s="37" t="s">
        <v>24</v>
      </c>
      <c r="Q8" s="37" t="s">
        <v>24</v>
      </c>
      <c r="R8" s="37"/>
      <c r="S8" s="37"/>
      <c r="T8" s="37"/>
      <c r="U8" s="37" t="s">
        <v>1471</v>
      </c>
      <c r="V8" s="38"/>
      <c r="W8" s="38"/>
      <c r="X8" s="38" t="s">
        <v>25</v>
      </c>
    </row>
    <row r="9" spans="1:24" ht="130" x14ac:dyDescent="0.35">
      <c r="A9" s="37"/>
      <c r="B9" s="37" t="s">
        <v>257</v>
      </c>
      <c r="C9" s="38" t="s">
        <v>280</v>
      </c>
      <c r="D9" s="37" t="s">
        <v>45</v>
      </c>
      <c r="E9" s="37" t="s">
        <v>281</v>
      </c>
      <c r="F9" s="37"/>
      <c r="G9" s="38" t="s">
        <v>24</v>
      </c>
      <c r="H9" s="38" t="s">
        <v>260</v>
      </c>
      <c r="I9" s="37" t="s">
        <v>25</v>
      </c>
      <c r="J9" s="37" t="s">
        <v>25</v>
      </c>
      <c r="K9" s="37" t="s">
        <v>24</v>
      </c>
      <c r="L9" s="37" t="s">
        <v>24</v>
      </c>
      <c r="M9" s="37" t="s">
        <v>24</v>
      </c>
      <c r="N9" s="37" t="s">
        <v>24</v>
      </c>
      <c r="O9" s="37" t="s">
        <v>24</v>
      </c>
      <c r="P9" s="37" t="s">
        <v>24</v>
      </c>
      <c r="Q9" s="37" t="s">
        <v>24</v>
      </c>
      <c r="R9" s="37"/>
      <c r="S9" s="37"/>
      <c r="T9" s="37"/>
      <c r="U9" s="44" t="s">
        <v>1484</v>
      </c>
      <c r="V9" s="38" t="s">
        <v>25</v>
      </c>
      <c r="W9" s="38" t="s">
        <v>1158</v>
      </c>
      <c r="X9" s="38" t="s">
        <v>25</v>
      </c>
    </row>
    <row r="10" spans="1:24" ht="78" x14ac:dyDescent="0.35">
      <c r="A10" s="37"/>
      <c r="B10" s="37" t="s">
        <v>257</v>
      </c>
      <c r="C10" s="38" t="s">
        <v>283</v>
      </c>
      <c r="D10" s="37" t="s">
        <v>45</v>
      </c>
      <c r="E10" s="37" t="s">
        <v>284</v>
      </c>
      <c r="F10" s="37"/>
      <c r="G10" s="38" t="s">
        <v>24</v>
      </c>
      <c r="H10" s="38" t="s">
        <v>260</v>
      </c>
      <c r="I10" s="37" t="s">
        <v>25</v>
      </c>
      <c r="J10" s="37" t="s">
        <v>25</v>
      </c>
      <c r="K10" s="37" t="s">
        <v>24</v>
      </c>
      <c r="L10" s="37" t="s">
        <v>24</v>
      </c>
      <c r="M10" s="37" t="s">
        <v>24</v>
      </c>
      <c r="N10" s="37" t="s">
        <v>24</v>
      </c>
      <c r="O10" s="37" t="s">
        <v>24</v>
      </c>
      <c r="P10" s="37" t="s">
        <v>24</v>
      </c>
      <c r="Q10" s="37" t="s">
        <v>24</v>
      </c>
      <c r="R10" s="37"/>
      <c r="S10" s="37"/>
      <c r="T10" s="37"/>
      <c r="U10" s="44" t="s">
        <v>1485</v>
      </c>
      <c r="V10" s="38" t="s">
        <v>25</v>
      </c>
      <c r="W10" s="38" t="s">
        <v>1158</v>
      </c>
      <c r="X10" s="38" t="s">
        <v>25</v>
      </c>
    </row>
    <row r="11" spans="1:24" ht="39" x14ac:dyDescent="0.35">
      <c r="A11" s="37"/>
      <c r="B11" s="37" t="s">
        <v>257</v>
      </c>
      <c r="C11" s="38" t="s">
        <v>286</v>
      </c>
      <c r="D11" s="37" t="s">
        <v>21</v>
      </c>
      <c r="E11" s="37" t="s">
        <v>287</v>
      </c>
      <c r="F11" s="37"/>
      <c r="G11" s="38" t="s">
        <v>24</v>
      </c>
      <c r="H11" s="38" t="s">
        <v>260</v>
      </c>
      <c r="I11" s="37" t="s">
        <v>25</v>
      </c>
      <c r="J11" s="37" t="s">
        <v>25</v>
      </c>
      <c r="K11" s="37" t="s">
        <v>24</v>
      </c>
      <c r="L11" s="37" t="s">
        <v>24</v>
      </c>
      <c r="M11" s="37" t="s">
        <v>24</v>
      </c>
      <c r="N11" s="37" t="s">
        <v>24</v>
      </c>
      <c r="O11" s="37" t="s">
        <v>24</v>
      </c>
      <c r="P11" s="37" t="s">
        <v>24</v>
      </c>
      <c r="Q11" s="37" t="s">
        <v>24</v>
      </c>
      <c r="R11" s="37"/>
      <c r="S11" s="37"/>
      <c r="T11" s="37"/>
      <c r="U11" s="37" t="s">
        <v>1474</v>
      </c>
      <c r="V11" s="38" t="s">
        <v>25</v>
      </c>
      <c r="W11" s="38" t="s">
        <v>1158</v>
      </c>
      <c r="X11" s="38" t="s">
        <v>25</v>
      </c>
    </row>
    <row r="12" spans="1:24" ht="78" x14ac:dyDescent="0.35">
      <c r="A12" s="37"/>
      <c r="B12" s="37" t="s">
        <v>257</v>
      </c>
      <c r="C12" s="38" t="s">
        <v>289</v>
      </c>
      <c r="D12" s="38"/>
      <c r="E12" s="38" t="s">
        <v>290</v>
      </c>
      <c r="F12" s="37"/>
      <c r="G12" s="38"/>
      <c r="H12" s="38" t="s">
        <v>7</v>
      </c>
      <c r="I12" s="38"/>
      <c r="J12" s="38" t="s">
        <v>25</v>
      </c>
      <c r="K12" s="38"/>
      <c r="L12" s="38"/>
      <c r="M12" s="38"/>
      <c r="N12" s="38"/>
      <c r="O12" s="38"/>
      <c r="P12" s="38"/>
      <c r="Q12" s="38"/>
      <c r="R12" s="38"/>
      <c r="S12" s="38"/>
      <c r="T12" s="38"/>
      <c r="U12" s="38" t="s">
        <v>1475</v>
      </c>
      <c r="V12" s="38"/>
      <c r="W12" s="38"/>
      <c r="X12" s="38"/>
    </row>
    <row r="13" spans="1:24" ht="78" x14ac:dyDescent="0.35">
      <c r="A13" s="37"/>
      <c r="B13" s="37" t="s">
        <v>257</v>
      </c>
      <c r="C13" s="38" t="s">
        <v>292</v>
      </c>
      <c r="D13" s="38" t="s">
        <v>21</v>
      </c>
      <c r="E13" s="38" t="s">
        <v>278</v>
      </c>
      <c r="F13" s="37"/>
      <c r="G13" s="38" t="s">
        <v>24</v>
      </c>
      <c r="H13" s="38" t="s">
        <v>7</v>
      </c>
      <c r="I13" s="37" t="s">
        <v>24</v>
      </c>
      <c r="J13" s="37" t="s">
        <v>25</v>
      </c>
      <c r="K13" s="37" t="s">
        <v>24</v>
      </c>
      <c r="L13" s="37" t="s">
        <v>24</v>
      </c>
      <c r="M13" s="37" t="s">
        <v>24</v>
      </c>
      <c r="N13" s="37" t="s">
        <v>24</v>
      </c>
      <c r="O13" s="37" t="s">
        <v>24</v>
      </c>
      <c r="P13" s="37" t="s">
        <v>24</v>
      </c>
      <c r="Q13" s="37" t="s">
        <v>24</v>
      </c>
      <c r="R13" s="38"/>
      <c r="S13" s="38"/>
      <c r="T13" s="38"/>
      <c r="U13" s="38" t="s">
        <v>293</v>
      </c>
      <c r="V13" s="38"/>
      <c r="W13" s="38"/>
      <c r="X13" s="38"/>
    </row>
    <row r="14" spans="1:24" ht="39" x14ac:dyDescent="0.35">
      <c r="A14" s="37"/>
      <c r="B14" s="44" t="s">
        <v>257</v>
      </c>
      <c r="C14" s="45" t="s">
        <v>294</v>
      </c>
      <c r="D14" s="45" t="s">
        <v>21</v>
      </c>
      <c r="E14" s="45" t="s">
        <v>295</v>
      </c>
      <c r="F14" s="45"/>
      <c r="G14" s="45"/>
      <c r="H14" s="45" t="s">
        <v>7</v>
      </c>
      <c r="I14" s="45"/>
      <c r="J14" s="45" t="s">
        <v>25</v>
      </c>
      <c r="K14" s="45" t="s">
        <v>24</v>
      </c>
      <c r="L14" s="45" t="s">
        <v>24</v>
      </c>
      <c r="M14" s="45" t="s">
        <v>24</v>
      </c>
      <c r="N14" s="45" t="s">
        <v>24</v>
      </c>
      <c r="O14" s="45" t="s">
        <v>24</v>
      </c>
      <c r="P14" s="45" t="s">
        <v>24</v>
      </c>
      <c r="Q14" s="45" t="s">
        <v>24</v>
      </c>
      <c r="R14" s="45"/>
      <c r="S14" s="45"/>
      <c r="T14" s="45"/>
      <c r="U14" s="45" t="s">
        <v>1476</v>
      </c>
      <c r="V14" s="45" t="s">
        <v>235</v>
      </c>
      <c r="W14" s="45" t="s">
        <v>235</v>
      </c>
      <c r="X14" s="45" t="s">
        <v>235</v>
      </c>
    </row>
  </sheetData>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AD20-476C-4B04-9F71-B7C09C3AC6F1}">
  <dimension ref="A1:X88"/>
  <sheetViews>
    <sheetView zoomScale="70" zoomScaleNormal="70" workbookViewId="0">
      <pane xSplit="3" ySplit="1" topLeftCell="T2" activePane="bottomRight" state="frozen"/>
      <selection pane="topRight" activeCell="D1" sqref="D1"/>
      <selection pane="bottomLeft" activeCell="A2" sqref="A2"/>
      <selection pane="bottomRight" activeCell="T5" sqref="T5"/>
    </sheetView>
  </sheetViews>
  <sheetFormatPr defaultColWidth="23.81640625" defaultRowHeight="14.5" x14ac:dyDescent="0.35"/>
  <cols>
    <col min="1" max="1" width="4.26953125" bestFit="1" customWidth="1"/>
    <col min="2" max="2" width="23.81640625" customWidth="1"/>
    <col min="3" max="3" width="23.54296875" customWidth="1"/>
    <col min="5" max="5" width="46" customWidth="1"/>
    <col min="6" max="6" width="24.1796875" customWidth="1"/>
    <col min="7" max="7" width="16.7265625" customWidth="1"/>
    <col min="8" max="20" width="23.81640625" customWidth="1"/>
    <col min="21" max="21" width="36.1796875" customWidth="1"/>
  </cols>
  <sheetData>
    <row r="1" spans="1:24" ht="26" x14ac:dyDescent="0.35">
      <c r="A1" s="52" t="s">
        <v>0</v>
      </c>
      <c r="B1" s="52" t="s">
        <v>1</v>
      </c>
      <c r="C1" s="53" t="s">
        <v>2</v>
      </c>
      <c r="D1" s="54" t="s">
        <v>3</v>
      </c>
      <c r="E1" s="54" t="s">
        <v>4</v>
      </c>
      <c r="F1" s="54" t="s">
        <v>1477</v>
      </c>
      <c r="G1" s="54" t="s">
        <v>1478</v>
      </c>
      <c r="H1" s="52" t="s">
        <v>5</v>
      </c>
      <c r="I1" s="52" t="s">
        <v>6</v>
      </c>
      <c r="J1" s="52" t="s">
        <v>7</v>
      </c>
      <c r="K1" s="52" t="s">
        <v>8</v>
      </c>
      <c r="L1" s="52" t="s">
        <v>9</v>
      </c>
      <c r="M1" s="52" t="s">
        <v>10</v>
      </c>
      <c r="N1" s="52" t="s">
        <v>11</v>
      </c>
      <c r="O1" s="52" t="s">
        <v>12</v>
      </c>
      <c r="P1" s="52" t="s">
        <v>13</v>
      </c>
      <c r="Q1" s="52" t="s">
        <v>14</v>
      </c>
      <c r="R1" s="52" t="s">
        <v>15</v>
      </c>
      <c r="S1" s="52" t="s">
        <v>16</v>
      </c>
      <c r="T1" s="52" t="s">
        <v>17</v>
      </c>
      <c r="U1" s="77" t="s">
        <v>18</v>
      </c>
      <c r="V1" s="54" t="s">
        <v>1479</v>
      </c>
      <c r="W1" s="52" t="s">
        <v>1480</v>
      </c>
      <c r="X1" s="55" t="s">
        <v>1481</v>
      </c>
    </row>
    <row r="2" spans="1:24" ht="78" x14ac:dyDescent="0.35">
      <c r="A2" s="33">
        <v>1</v>
      </c>
      <c r="B2" s="33" t="s">
        <v>19</v>
      </c>
      <c r="C2" s="34" t="s">
        <v>20</v>
      </c>
      <c r="D2" s="34" t="s">
        <v>21</v>
      </c>
      <c r="E2" s="34" t="s">
        <v>22</v>
      </c>
      <c r="F2" s="34"/>
      <c r="G2" s="34" t="s">
        <v>25</v>
      </c>
      <c r="H2" s="34" t="s">
        <v>23</v>
      </c>
      <c r="I2" s="34" t="s">
        <v>24</v>
      </c>
      <c r="J2" s="34" t="s">
        <v>24</v>
      </c>
      <c r="K2" s="34" t="s">
        <v>25</v>
      </c>
      <c r="L2" s="34" t="s">
        <v>24</v>
      </c>
      <c r="M2" s="34" t="s">
        <v>24</v>
      </c>
      <c r="N2" s="34" t="s">
        <v>24</v>
      </c>
      <c r="O2" s="34" t="s">
        <v>25</v>
      </c>
      <c r="P2" s="34" t="s">
        <v>24</v>
      </c>
      <c r="Q2" s="34" t="s">
        <v>24</v>
      </c>
      <c r="R2" s="34"/>
      <c r="S2" s="34"/>
      <c r="T2" s="34" t="s">
        <v>26</v>
      </c>
      <c r="U2" s="34" t="s">
        <v>1486</v>
      </c>
      <c r="V2" s="34" t="s">
        <v>24</v>
      </c>
      <c r="W2" s="34" t="s">
        <v>1158</v>
      </c>
      <c r="X2" s="35"/>
    </row>
    <row r="3" spans="1:24" ht="117" x14ac:dyDescent="0.35">
      <c r="A3" s="33">
        <v>2</v>
      </c>
      <c r="B3" s="33" t="s">
        <v>19</v>
      </c>
      <c r="C3" s="34" t="s">
        <v>28</v>
      </c>
      <c r="D3" s="34" t="s">
        <v>21</v>
      </c>
      <c r="E3" s="34" t="s">
        <v>29</v>
      </c>
      <c r="F3" s="34"/>
      <c r="G3" s="34" t="s">
        <v>25</v>
      </c>
      <c r="H3" s="34" t="s">
        <v>30</v>
      </c>
      <c r="I3" s="34" t="s">
        <v>25</v>
      </c>
      <c r="J3" s="34" t="s">
        <v>25</v>
      </c>
      <c r="K3" s="34" t="s">
        <v>25</v>
      </c>
      <c r="L3" s="34" t="s">
        <v>25</v>
      </c>
      <c r="M3" s="34" t="s">
        <v>25</v>
      </c>
      <c r="N3" s="34" t="s">
        <v>25</v>
      </c>
      <c r="O3" s="34" t="s">
        <v>25</v>
      </c>
      <c r="P3" s="34" t="s">
        <v>25</v>
      </c>
      <c r="Q3" s="34" t="s">
        <v>25</v>
      </c>
      <c r="R3" s="34" t="s">
        <v>25</v>
      </c>
      <c r="S3" s="34"/>
      <c r="T3" s="34" t="s">
        <v>31</v>
      </c>
      <c r="U3" s="34" t="s">
        <v>1487</v>
      </c>
      <c r="V3" s="34" t="s">
        <v>25</v>
      </c>
      <c r="W3" s="34" t="s">
        <v>1158</v>
      </c>
      <c r="X3" s="35" t="s">
        <v>25</v>
      </c>
    </row>
    <row r="4" spans="1:24" ht="65" x14ac:dyDescent="0.35">
      <c r="A4" s="33">
        <v>3</v>
      </c>
      <c r="B4" s="33" t="s">
        <v>19</v>
      </c>
      <c r="C4" s="34" t="s">
        <v>33</v>
      </c>
      <c r="D4" s="34" t="s">
        <v>34</v>
      </c>
      <c r="E4" s="34" t="s">
        <v>35</v>
      </c>
      <c r="F4" s="34"/>
      <c r="G4" s="34" t="s">
        <v>25</v>
      </c>
      <c r="H4" s="34" t="s">
        <v>36</v>
      </c>
      <c r="I4" s="34" t="s">
        <v>24</v>
      </c>
      <c r="J4" s="34" t="s">
        <v>24</v>
      </c>
      <c r="K4" s="34" t="s">
        <v>25</v>
      </c>
      <c r="L4" s="34" t="s">
        <v>25</v>
      </c>
      <c r="M4" s="34" t="s">
        <v>24</v>
      </c>
      <c r="N4" s="34" t="s">
        <v>24</v>
      </c>
      <c r="O4" s="34" t="s">
        <v>25</v>
      </c>
      <c r="P4" s="34" t="s">
        <v>25</v>
      </c>
      <c r="Q4" s="34" t="s">
        <v>25</v>
      </c>
      <c r="R4" s="34"/>
      <c r="S4" s="34" t="s">
        <v>25</v>
      </c>
      <c r="T4" s="34" t="s">
        <v>26</v>
      </c>
      <c r="U4" s="34" t="s">
        <v>37</v>
      </c>
      <c r="V4" s="34" t="s">
        <v>25</v>
      </c>
      <c r="W4" s="34"/>
      <c r="X4" s="34"/>
    </row>
    <row r="5" spans="1:24" ht="65" x14ac:dyDescent="0.35">
      <c r="A5" s="33">
        <v>4</v>
      </c>
      <c r="B5" s="33" t="s">
        <v>19</v>
      </c>
      <c r="C5" s="34" t="s">
        <v>38</v>
      </c>
      <c r="D5" s="34" t="s">
        <v>39</v>
      </c>
      <c r="E5" s="34" t="s">
        <v>40</v>
      </c>
      <c r="F5" s="34"/>
      <c r="G5" s="34" t="s">
        <v>24</v>
      </c>
      <c r="H5" s="34" t="s">
        <v>41</v>
      </c>
      <c r="I5" s="34" t="s">
        <v>25</v>
      </c>
      <c r="J5" s="34" t="s">
        <v>24</v>
      </c>
      <c r="K5" s="34" t="s">
        <v>25</v>
      </c>
      <c r="L5" s="34" t="s">
        <v>25</v>
      </c>
      <c r="M5" s="34" t="s">
        <v>24</v>
      </c>
      <c r="N5" s="34" t="s">
        <v>24</v>
      </c>
      <c r="O5" s="34" t="s">
        <v>24</v>
      </c>
      <c r="P5" s="34" t="s">
        <v>25</v>
      </c>
      <c r="Q5" s="34" t="s">
        <v>25</v>
      </c>
      <c r="R5" s="34"/>
      <c r="S5" s="34"/>
      <c r="T5" s="34" t="s">
        <v>42</v>
      </c>
      <c r="U5" s="34" t="s">
        <v>43</v>
      </c>
      <c r="V5" s="34" t="s">
        <v>25</v>
      </c>
      <c r="W5" s="34"/>
      <c r="X5" s="34" t="s">
        <v>24</v>
      </c>
    </row>
    <row r="6" spans="1:24" ht="52" x14ac:dyDescent="0.35">
      <c r="A6" s="33">
        <v>5</v>
      </c>
      <c r="B6" s="33" t="s">
        <v>19</v>
      </c>
      <c r="C6" s="34" t="s">
        <v>44</v>
      </c>
      <c r="D6" s="34" t="s">
        <v>45</v>
      </c>
      <c r="E6" s="34" t="s">
        <v>46</v>
      </c>
      <c r="F6" s="34"/>
      <c r="G6" s="34" t="s">
        <v>24</v>
      </c>
      <c r="H6" s="34" t="s">
        <v>47</v>
      </c>
      <c r="I6" s="34" t="s">
        <v>25</v>
      </c>
      <c r="J6" s="34" t="s">
        <v>24</v>
      </c>
      <c r="K6" s="34" t="s">
        <v>25</v>
      </c>
      <c r="L6" s="34" t="s">
        <v>24</v>
      </c>
      <c r="M6" s="34" t="s">
        <v>24</v>
      </c>
      <c r="N6" s="34" t="s">
        <v>24</v>
      </c>
      <c r="O6" s="34" t="s">
        <v>24</v>
      </c>
      <c r="P6" s="34" t="s">
        <v>24</v>
      </c>
      <c r="Q6" s="34" t="s">
        <v>24</v>
      </c>
      <c r="R6" s="34"/>
      <c r="S6" s="34"/>
      <c r="T6" s="34" t="s">
        <v>31</v>
      </c>
      <c r="U6" s="34" t="s">
        <v>48</v>
      </c>
      <c r="V6" s="34" t="s">
        <v>25</v>
      </c>
      <c r="W6" s="34"/>
      <c r="X6" s="34" t="s">
        <v>24</v>
      </c>
    </row>
    <row r="7" spans="1:24" ht="65" x14ac:dyDescent="0.35">
      <c r="A7" s="33">
        <v>6</v>
      </c>
      <c r="B7" s="33" t="s">
        <v>19</v>
      </c>
      <c r="C7" s="34" t="s">
        <v>49</v>
      </c>
      <c r="D7" s="34" t="s">
        <v>39</v>
      </c>
      <c r="E7" s="34" t="s">
        <v>50</v>
      </c>
      <c r="F7" s="34" t="s">
        <v>1488</v>
      </c>
      <c r="G7" s="34" t="s">
        <v>24</v>
      </c>
      <c r="H7" s="34" t="s">
        <v>51</v>
      </c>
      <c r="I7" s="34" t="s">
        <v>25</v>
      </c>
      <c r="J7" s="34" t="s">
        <v>24</v>
      </c>
      <c r="K7" s="34" t="s">
        <v>25</v>
      </c>
      <c r="L7" s="34" t="s">
        <v>25</v>
      </c>
      <c r="M7" s="34" t="s">
        <v>24</v>
      </c>
      <c r="N7" s="34" t="s">
        <v>24</v>
      </c>
      <c r="O7" s="34" t="s">
        <v>24</v>
      </c>
      <c r="P7" s="34" t="s">
        <v>24</v>
      </c>
      <c r="Q7" s="34" t="s">
        <v>24</v>
      </c>
      <c r="R7" s="34" t="s">
        <v>25</v>
      </c>
      <c r="S7" s="34"/>
      <c r="T7" s="34" t="s">
        <v>31</v>
      </c>
      <c r="U7" s="34" t="s">
        <v>52</v>
      </c>
      <c r="V7" s="34" t="s">
        <v>25</v>
      </c>
      <c r="W7" s="34"/>
      <c r="X7" s="34" t="s">
        <v>24</v>
      </c>
    </row>
    <row r="8" spans="1:24" ht="78" x14ac:dyDescent="0.35">
      <c r="A8" s="33">
        <v>7</v>
      </c>
      <c r="B8" s="33" t="s">
        <v>19</v>
      </c>
      <c r="C8" s="34" t="s">
        <v>53</v>
      </c>
      <c r="D8" s="34" t="s">
        <v>21</v>
      </c>
      <c r="E8" s="34" t="s">
        <v>54</v>
      </c>
      <c r="F8" s="34"/>
      <c r="G8" s="34" t="s">
        <v>24</v>
      </c>
      <c r="H8" s="34" t="s">
        <v>47</v>
      </c>
      <c r="I8" s="34" t="s">
        <v>25</v>
      </c>
      <c r="J8" s="34" t="s">
        <v>24</v>
      </c>
      <c r="K8" s="34" t="s">
        <v>25</v>
      </c>
      <c r="L8" s="34" t="s">
        <v>24</v>
      </c>
      <c r="M8" s="34" t="s">
        <v>24</v>
      </c>
      <c r="N8" s="34" t="s">
        <v>24</v>
      </c>
      <c r="O8" s="34" t="s">
        <v>24</v>
      </c>
      <c r="P8" s="34" t="s">
        <v>24</v>
      </c>
      <c r="Q8" s="34" t="s">
        <v>24</v>
      </c>
      <c r="R8" s="34"/>
      <c r="S8" s="34"/>
      <c r="T8" s="34" t="s">
        <v>31</v>
      </c>
      <c r="U8" s="34" t="s">
        <v>55</v>
      </c>
      <c r="V8" s="34" t="s">
        <v>24</v>
      </c>
      <c r="W8" s="34"/>
      <c r="X8" s="34" t="s">
        <v>24</v>
      </c>
    </row>
    <row r="9" spans="1:24" ht="39" x14ac:dyDescent="0.35">
      <c r="A9" s="33">
        <v>8</v>
      </c>
      <c r="B9" s="33" t="s">
        <v>19</v>
      </c>
      <c r="C9" s="34" t="s">
        <v>56</v>
      </c>
      <c r="D9" s="34" t="s">
        <v>45</v>
      </c>
      <c r="E9" s="34" t="s">
        <v>57</v>
      </c>
      <c r="F9" s="34"/>
      <c r="G9" s="34" t="s">
        <v>24</v>
      </c>
      <c r="H9" s="34" t="s">
        <v>47</v>
      </c>
      <c r="I9" s="34" t="s">
        <v>25</v>
      </c>
      <c r="J9" s="34" t="s">
        <v>24</v>
      </c>
      <c r="K9" s="34" t="s">
        <v>25</v>
      </c>
      <c r="L9" s="34" t="s">
        <v>24</v>
      </c>
      <c r="M9" s="34" t="s">
        <v>24</v>
      </c>
      <c r="N9" s="34" t="s">
        <v>24</v>
      </c>
      <c r="O9" s="34" t="s">
        <v>24</v>
      </c>
      <c r="P9" s="34" t="s">
        <v>24</v>
      </c>
      <c r="Q9" s="34" t="s">
        <v>24</v>
      </c>
      <c r="R9" s="34"/>
      <c r="S9" s="34"/>
      <c r="T9" s="34" t="s">
        <v>31</v>
      </c>
      <c r="U9" s="34" t="s">
        <v>1387</v>
      </c>
      <c r="V9" s="34" t="s">
        <v>25</v>
      </c>
      <c r="W9" s="34"/>
      <c r="X9" s="34" t="s">
        <v>24</v>
      </c>
    </row>
    <row r="10" spans="1:24" ht="117" x14ac:dyDescent="0.35">
      <c r="A10" s="33">
        <v>9</v>
      </c>
      <c r="B10" s="33" t="s">
        <v>19</v>
      </c>
      <c r="C10" s="34" t="s">
        <v>59</v>
      </c>
      <c r="D10" s="34" t="s">
        <v>39</v>
      </c>
      <c r="E10" s="34" t="s">
        <v>60</v>
      </c>
      <c r="F10" s="34"/>
      <c r="G10" s="34" t="s">
        <v>24</v>
      </c>
      <c r="H10" s="34" t="s">
        <v>47</v>
      </c>
      <c r="I10" s="34" t="s">
        <v>25</v>
      </c>
      <c r="J10" s="34" t="s">
        <v>24</v>
      </c>
      <c r="K10" s="34" t="s">
        <v>25</v>
      </c>
      <c r="L10" s="34" t="s">
        <v>24</v>
      </c>
      <c r="M10" s="34" t="s">
        <v>24</v>
      </c>
      <c r="N10" s="34" t="s">
        <v>24</v>
      </c>
      <c r="O10" s="34" t="s">
        <v>24</v>
      </c>
      <c r="P10" s="34" t="s">
        <v>24</v>
      </c>
      <c r="Q10" s="34" t="s">
        <v>24</v>
      </c>
      <c r="R10" s="34"/>
      <c r="S10" s="34"/>
      <c r="T10" s="34" t="s">
        <v>31</v>
      </c>
      <c r="U10" s="34" t="s">
        <v>1489</v>
      </c>
      <c r="V10" s="34" t="s">
        <v>24</v>
      </c>
      <c r="W10" s="34" t="s">
        <v>1158</v>
      </c>
      <c r="X10" s="34" t="s">
        <v>24</v>
      </c>
    </row>
    <row r="11" spans="1:24" ht="39" x14ac:dyDescent="0.35">
      <c r="A11" s="33">
        <v>10</v>
      </c>
      <c r="B11" s="33" t="s">
        <v>19</v>
      </c>
      <c r="C11" s="34" t="s">
        <v>62</v>
      </c>
      <c r="D11" s="34" t="s">
        <v>39</v>
      </c>
      <c r="E11" s="34" t="s">
        <v>63</v>
      </c>
      <c r="F11" s="34"/>
      <c r="G11" s="34" t="s">
        <v>24</v>
      </c>
      <c r="H11" s="34" t="s">
        <v>47</v>
      </c>
      <c r="I11" s="34" t="s">
        <v>25</v>
      </c>
      <c r="J11" s="34" t="s">
        <v>24</v>
      </c>
      <c r="K11" s="34" t="s">
        <v>25</v>
      </c>
      <c r="L11" s="34" t="s">
        <v>24</v>
      </c>
      <c r="M11" s="34" t="s">
        <v>24</v>
      </c>
      <c r="N11" s="34" t="s">
        <v>24</v>
      </c>
      <c r="O11" s="34" t="s">
        <v>24</v>
      </c>
      <c r="P11" s="34" t="s">
        <v>24</v>
      </c>
      <c r="Q11" s="34" t="s">
        <v>24</v>
      </c>
      <c r="R11" s="34"/>
      <c r="S11" s="34"/>
      <c r="T11" s="34" t="s">
        <v>31</v>
      </c>
      <c r="U11" s="34" t="s">
        <v>64</v>
      </c>
      <c r="V11" s="34" t="s">
        <v>25</v>
      </c>
      <c r="W11" s="34" t="s">
        <v>1158</v>
      </c>
      <c r="X11" s="34" t="s">
        <v>24</v>
      </c>
    </row>
    <row r="12" spans="1:24" ht="39" x14ac:dyDescent="0.35">
      <c r="A12" s="33">
        <v>11</v>
      </c>
      <c r="B12" s="33" t="s">
        <v>19</v>
      </c>
      <c r="C12" s="34" t="s">
        <v>65</v>
      </c>
      <c r="D12" s="34" t="s">
        <v>21</v>
      </c>
      <c r="E12" s="34" t="s">
        <v>66</v>
      </c>
      <c r="F12" s="34"/>
      <c r="G12" s="34" t="s">
        <v>24</v>
      </c>
      <c r="H12" s="34" t="s">
        <v>47</v>
      </c>
      <c r="I12" s="34" t="s">
        <v>25</v>
      </c>
      <c r="J12" s="34" t="s">
        <v>24</v>
      </c>
      <c r="K12" s="34" t="s">
        <v>25</v>
      </c>
      <c r="L12" s="34" t="s">
        <v>24</v>
      </c>
      <c r="M12" s="34" t="s">
        <v>24</v>
      </c>
      <c r="N12" s="34" t="s">
        <v>24</v>
      </c>
      <c r="O12" s="34" t="s">
        <v>24</v>
      </c>
      <c r="P12" s="34" t="s">
        <v>24</v>
      </c>
      <c r="Q12" s="34" t="s">
        <v>24</v>
      </c>
      <c r="R12" s="34"/>
      <c r="S12" s="34"/>
      <c r="T12" s="34" t="s">
        <v>31</v>
      </c>
      <c r="U12" s="34" t="s">
        <v>1390</v>
      </c>
      <c r="V12" s="34" t="s">
        <v>24</v>
      </c>
      <c r="W12" s="34"/>
      <c r="X12" s="34" t="s">
        <v>24</v>
      </c>
    </row>
    <row r="13" spans="1:24" ht="26" x14ac:dyDescent="0.35">
      <c r="A13" s="33">
        <v>12</v>
      </c>
      <c r="B13" s="33" t="s">
        <v>19</v>
      </c>
      <c r="C13" s="34" t="s">
        <v>68</v>
      </c>
      <c r="D13" s="34" t="s">
        <v>45</v>
      </c>
      <c r="E13" s="34" t="s">
        <v>69</v>
      </c>
      <c r="F13" s="34"/>
      <c r="G13" s="34" t="s">
        <v>24</v>
      </c>
      <c r="H13" s="34" t="s">
        <v>8</v>
      </c>
      <c r="I13" s="34" t="s">
        <v>24</v>
      </c>
      <c r="J13" s="34" t="s">
        <v>24</v>
      </c>
      <c r="K13" s="34" t="s">
        <v>25</v>
      </c>
      <c r="L13" s="34" t="s">
        <v>24</v>
      </c>
      <c r="M13" s="34" t="s">
        <v>24</v>
      </c>
      <c r="N13" s="34" t="s">
        <v>24</v>
      </c>
      <c r="O13" s="34" t="s">
        <v>24</v>
      </c>
      <c r="P13" s="34" t="s">
        <v>24</v>
      </c>
      <c r="Q13" s="34" t="s">
        <v>24</v>
      </c>
      <c r="R13" s="34"/>
      <c r="S13" s="34"/>
      <c r="T13" s="34" t="s">
        <v>26</v>
      </c>
      <c r="U13" s="34" t="s">
        <v>1391</v>
      </c>
      <c r="V13" s="34"/>
      <c r="W13" s="34"/>
      <c r="X13" s="34"/>
    </row>
    <row r="14" spans="1:24" ht="26" x14ac:dyDescent="0.35">
      <c r="A14" s="33">
        <v>13</v>
      </c>
      <c r="B14" s="33" t="s">
        <v>19</v>
      </c>
      <c r="C14" s="34" t="s">
        <v>71</v>
      </c>
      <c r="D14" s="34" t="s">
        <v>45</v>
      </c>
      <c r="E14" s="34" t="s">
        <v>69</v>
      </c>
      <c r="F14" s="34"/>
      <c r="G14" s="34" t="s">
        <v>24</v>
      </c>
      <c r="H14" s="34" t="s">
        <v>8</v>
      </c>
      <c r="I14" s="34" t="s">
        <v>24</v>
      </c>
      <c r="J14" s="34" t="s">
        <v>24</v>
      </c>
      <c r="K14" s="34" t="s">
        <v>25</v>
      </c>
      <c r="L14" s="34" t="s">
        <v>24</v>
      </c>
      <c r="M14" s="34" t="s">
        <v>24</v>
      </c>
      <c r="N14" s="34" t="s">
        <v>24</v>
      </c>
      <c r="O14" s="34" t="s">
        <v>24</v>
      </c>
      <c r="P14" s="34" t="s">
        <v>24</v>
      </c>
      <c r="Q14" s="34" t="s">
        <v>24</v>
      </c>
      <c r="R14" s="34"/>
      <c r="S14" s="34"/>
      <c r="T14" s="34" t="s">
        <v>26</v>
      </c>
      <c r="U14" s="34" t="s">
        <v>1392</v>
      </c>
      <c r="V14" s="34"/>
      <c r="W14" s="34"/>
      <c r="X14" s="34"/>
    </row>
    <row r="15" spans="1:24" ht="26" x14ac:dyDescent="0.35">
      <c r="A15" s="33">
        <v>14</v>
      </c>
      <c r="B15" s="33" t="s">
        <v>19</v>
      </c>
      <c r="C15" s="34" t="s">
        <v>73</v>
      </c>
      <c r="D15" s="34" t="s">
        <v>45</v>
      </c>
      <c r="E15" s="34" t="s">
        <v>74</v>
      </c>
      <c r="F15" s="34"/>
      <c r="G15" s="34" t="s">
        <v>24</v>
      </c>
      <c r="H15" s="34" t="s">
        <v>8</v>
      </c>
      <c r="I15" s="34" t="s">
        <v>24</v>
      </c>
      <c r="J15" s="34" t="s">
        <v>24</v>
      </c>
      <c r="K15" s="34" t="s">
        <v>25</v>
      </c>
      <c r="L15" s="34" t="s">
        <v>24</v>
      </c>
      <c r="M15" s="34" t="s">
        <v>24</v>
      </c>
      <c r="N15" s="34" t="s">
        <v>24</v>
      </c>
      <c r="O15" s="34" t="s">
        <v>24</v>
      </c>
      <c r="P15" s="34" t="s">
        <v>24</v>
      </c>
      <c r="Q15" s="34" t="s">
        <v>24</v>
      </c>
      <c r="R15" s="34"/>
      <c r="S15" s="34"/>
      <c r="T15" s="34" t="s">
        <v>26</v>
      </c>
      <c r="U15" s="34" t="s">
        <v>1393</v>
      </c>
      <c r="V15" s="34" t="s">
        <v>25</v>
      </c>
      <c r="W15" s="34"/>
      <c r="X15" s="34"/>
    </row>
    <row r="16" spans="1:24" ht="39" x14ac:dyDescent="0.35">
      <c r="A16" s="33">
        <v>15</v>
      </c>
      <c r="B16" s="33" t="s">
        <v>19</v>
      </c>
      <c r="C16" s="34" t="s">
        <v>76</v>
      </c>
      <c r="D16" s="34" t="s">
        <v>45</v>
      </c>
      <c r="E16" s="34" t="s">
        <v>77</v>
      </c>
      <c r="F16" s="34"/>
      <c r="G16" s="34" t="s">
        <v>24</v>
      </c>
      <c r="H16" s="34" t="s">
        <v>47</v>
      </c>
      <c r="I16" s="34" t="s">
        <v>25</v>
      </c>
      <c r="J16" s="34" t="s">
        <v>24</v>
      </c>
      <c r="K16" s="34" t="s">
        <v>25</v>
      </c>
      <c r="L16" s="34" t="s">
        <v>24</v>
      </c>
      <c r="M16" s="34" t="s">
        <v>24</v>
      </c>
      <c r="N16" s="34" t="s">
        <v>24</v>
      </c>
      <c r="O16" s="34" t="s">
        <v>24</v>
      </c>
      <c r="P16" s="34" t="s">
        <v>24</v>
      </c>
      <c r="Q16" s="34" t="s">
        <v>24</v>
      </c>
      <c r="R16" s="34"/>
      <c r="S16" s="34"/>
      <c r="T16" s="34"/>
      <c r="U16" s="34" t="s">
        <v>1394</v>
      </c>
      <c r="V16" s="34" t="s">
        <v>25</v>
      </c>
      <c r="W16" s="34"/>
      <c r="X16" s="34" t="s">
        <v>25</v>
      </c>
    </row>
    <row r="17" spans="1:24" ht="39" x14ac:dyDescent="0.35">
      <c r="A17" s="33">
        <v>16</v>
      </c>
      <c r="B17" s="33" t="s">
        <v>19</v>
      </c>
      <c r="C17" s="34" t="s">
        <v>79</v>
      </c>
      <c r="D17" s="34" t="s">
        <v>45</v>
      </c>
      <c r="E17" s="34" t="s">
        <v>80</v>
      </c>
      <c r="F17" s="34"/>
      <c r="G17" s="34" t="s">
        <v>24</v>
      </c>
      <c r="H17" s="34" t="s">
        <v>47</v>
      </c>
      <c r="I17" s="34" t="s">
        <v>25</v>
      </c>
      <c r="J17" s="34" t="s">
        <v>24</v>
      </c>
      <c r="K17" s="34" t="s">
        <v>25</v>
      </c>
      <c r="L17" s="34" t="s">
        <v>24</v>
      </c>
      <c r="M17" s="34" t="s">
        <v>24</v>
      </c>
      <c r="N17" s="34" t="s">
        <v>24</v>
      </c>
      <c r="O17" s="34" t="s">
        <v>24</v>
      </c>
      <c r="P17" s="34" t="s">
        <v>24</v>
      </c>
      <c r="Q17" s="34" t="s">
        <v>24</v>
      </c>
      <c r="R17" s="34"/>
      <c r="S17" s="34"/>
      <c r="T17" s="34"/>
      <c r="U17" s="34" t="s">
        <v>1395</v>
      </c>
      <c r="V17" s="34" t="s">
        <v>25</v>
      </c>
      <c r="W17" s="34"/>
      <c r="X17" s="34" t="s">
        <v>25</v>
      </c>
    </row>
    <row r="18" spans="1:24" ht="143" x14ac:dyDescent="0.35">
      <c r="A18" s="33">
        <v>17</v>
      </c>
      <c r="B18" s="33" t="s">
        <v>19</v>
      </c>
      <c r="C18" s="46" t="s">
        <v>82</v>
      </c>
      <c r="D18" s="34" t="s">
        <v>39</v>
      </c>
      <c r="E18" s="34" t="s">
        <v>83</v>
      </c>
      <c r="F18" s="34"/>
      <c r="G18" s="34" t="s">
        <v>24</v>
      </c>
      <c r="H18" s="34" t="s">
        <v>84</v>
      </c>
      <c r="I18" s="34" t="s">
        <v>24</v>
      </c>
      <c r="J18" s="34" t="s">
        <v>24</v>
      </c>
      <c r="K18" s="34" t="s">
        <v>24</v>
      </c>
      <c r="L18" s="34" t="s">
        <v>24</v>
      </c>
      <c r="M18" s="34" t="s">
        <v>24</v>
      </c>
      <c r="N18" s="34" t="s">
        <v>24</v>
      </c>
      <c r="O18" s="34" t="s">
        <v>24</v>
      </c>
      <c r="P18" s="34" t="s">
        <v>24</v>
      </c>
      <c r="Q18" s="34" t="s">
        <v>24</v>
      </c>
      <c r="R18" s="34"/>
      <c r="S18" s="34"/>
      <c r="T18" s="34"/>
      <c r="U18" s="49" t="s">
        <v>1396</v>
      </c>
      <c r="V18" s="34" t="s">
        <v>24</v>
      </c>
      <c r="W18" s="34"/>
      <c r="X18" s="34"/>
    </row>
    <row r="19" spans="1:24" ht="39" x14ac:dyDescent="0.35">
      <c r="A19" s="33">
        <v>18</v>
      </c>
      <c r="B19" s="33" t="s">
        <v>19</v>
      </c>
      <c r="C19" s="34" t="s">
        <v>86</v>
      </c>
      <c r="D19" s="34" t="s">
        <v>21</v>
      </c>
      <c r="E19" s="34" t="s">
        <v>87</v>
      </c>
      <c r="F19" s="34"/>
      <c r="G19" s="34" t="s">
        <v>24</v>
      </c>
      <c r="H19" s="34" t="s">
        <v>47</v>
      </c>
      <c r="I19" s="33" t="s">
        <v>25</v>
      </c>
      <c r="J19" s="33" t="s">
        <v>24</v>
      </c>
      <c r="K19" s="33" t="s">
        <v>25</v>
      </c>
      <c r="L19" s="33" t="s">
        <v>24</v>
      </c>
      <c r="M19" s="33" t="s">
        <v>24</v>
      </c>
      <c r="N19" s="33" t="s">
        <v>24</v>
      </c>
      <c r="O19" s="33" t="s">
        <v>24</v>
      </c>
      <c r="P19" s="33" t="s">
        <v>24</v>
      </c>
      <c r="Q19" s="33" t="s">
        <v>24</v>
      </c>
      <c r="R19" s="33"/>
      <c r="S19" s="33"/>
      <c r="T19" s="33"/>
      <c r="U19" s="56" t="s">
        <v>1397</v>
      </c>
      <c r="V19" s="34"/>
      <c r="W19" s="34"/>
      <c r="X19" s="34" t="s">
        <v>24</v>
      </c>
    </row>
    <row r="20" spans="1:24" ht="39" x14ac:dyDescent="0.35">
      <c r="A20" s="33">
        <v>19</v>
      </c>
      <c r="B20" s="33" t="s">
        <v>19</v>
      </c>
      <c r="C20" s="34" t="s">
        <v>89</v>
      </c>
      <c r="D20" s="34" t="s">
        <v>45</v>
      </c>
      <c r="E20" s="34" t="s">
        <v>90</v>
      </c>
      <c r="F20" s="34"/>
      <c r="G20" s="34"/>
      <c r="H20" s="34" t="s">
        <v>47</v>
      </c>
      <c r="I20" s="34" t="s">
        <v>25</v>
      </c>
      <c r="J20" s="34" t="s">
        <v>24</v>
      </c>
      <c r="K20" s="34" t="s">
        <v>25</v>
      </c>
      <c r="L20" s="34" t="s">
        <v>24</v>
      </c>
      <c r="M20" s="34" t="s">
        <v>24</v>
      </c>
      <c r="N20" s="34" t="s">
        <v>24</v>
      </c>
      <c r="O20" s="34" t="s">
        <v>24</v>
      </c>
      <c r="P20" s="34" t="s">
        <v>24</v>
      </c>
      <c r="Q20" s="34" t="s">
        <v>24</v>
      </c>
      <c r="R20" s="34" t="s">
        <v>24</v>
      </c>
      <c r="S20" s="34"/>
      <c r="T20" s="34"/>
      <c r="U20" s="56" t="s">
        <v>1398</v>
      </c>
      <c r="V20" s="34"/>
      <c r="W20" s="34"/>
      <c r="X20" s="34"/>
    </row>
    <row r="21" spans="1:24" ht="52" x14ac:dyDescent="0.35">
      <c r="A21" s="33">
        <v>20</v>
      </c>
      <c r="B21" s="33" t="s">
        <v>19</v>
      </c>
      <c r="C21" s="34" t="s">
        <v>92</v>
      </c>
      <c r="D21" s="34" t="s">
        <v>45</v>
      </c>
      <c r="E21" s="34" t="s">
        <v>93</v>
      </c>
      <c r="F21" s="34"/>
      <c r="G21" s="34"/>
      <c r="H21" s="34" t="s">
        <v>8</v>
      </c>
      <c r="I21" s="34" t="s">
        <v>24</v>
      </c>
      <c r="J21" s="34" t="s">
        <v>24</v>
      </c>
      <c r="K21" s="34" t="s">
        <v>25</v>
      </c>
      <c r="L21" s="34" t="s">
        <v>24</v>
      </c>
      <c r="M21" s="34" t="s">
        <v>24</v>
      </c>
      <c r="N21" s="34" t="s">
        <v>24</v>
      </c>
      <c r="O21" s="34" t="s">
        <v>24</v>
      </c>
      <c r="P21" s="34" t="s">
        <v>24</v>
      </c>
      <c r="Q21" s="34" t="s">
        <v>24</v>
      </c>
      <c r="R21" s="34" t="s">
        <v>24</v>
      </c>
      <c r="S21" s="34"/>
      <c r="T21" s="34"/>
      <c r="U21" s="56" t="s">
        <v>94</v>
      </c>
      <c r="V21" s="34"/>
      <c r="W21" s="34"/>
      <c r="X21" s="34"/>
    </row>
    <row r="22" spans="1:24" ht="39" x14ac:dyDescent="0.35">
      <c r="A22" s="33">
        <v>21</v>
      </c>
      <c r="B22" s="34" t="s">
        <v>19</v>
      </c>
      <c r="C22" s="34" t="s">
        <v>95</v>
      </c>
      <c r="D22" s="34" t="s">
        <v>21</v>
      </c>
      <c r="E22" s="34" t="s">
        <v>96</v>
      </c>
      <c r="F22" s="34"/>
      <c r="G22" s="34"/>
      <c r="H22" s="34" t="s">
        <v>23</v>
      </c>
      <c r="I22" s="34"/>
      <c r="J22" s="34"/>
      <c r="K22" s="34" t="s">
        <v>25</v>
      </c>
      <c r="L22" s="34"/>
      <c r="M22" s="34"/>
      <c r="N22" s="34"/>
      <c r="O22" s="34" t="s">
        <v>25</v>
      </c>
      <c r="P22" s="34"/>
      <c r="Q22" s="34"/>
      <c r="R22" s="34"/>
      <c r="S22" s="34"/>
      <c r="T22" s="34"/>
      <c r="U22" s="56" t="s">
        <v>1399</v>
      </c>
      <c r="V22" s="34"/>
      <c r="W22" s="34"/>
      <c r="X22" s="34"/>
    </row>
    <row r="23" spans="1:24" ht="130" x14ac:dyDescent="0.35">
      <c r="A23" s="33">
        <v>22</v>
      </c>
      <c r="B23" s="33" t="s">
        <v>19</v>
      </c>
      <c r="C23" s="34" t="s">
        <v>98</v>
      </c>
      <c r="D23" s="34" t="s">
        <v>45</v>
      </c>
      <c r="E23" s="34" t="s">
        <v>99</v>
      </c>
      <c r="F23" s="34"/>
      <c r="G23" s="34"/>
      <c r="H23" s="34" t="s">
        <v>47</v>
      </c>
      <c r="I23" s="34" t="s">
        <v>25</v>
      </c>
      <c r="J23" s="34" t="s">
        <v>24</v>
      </c>
      <c r="K23" s="34" t="s">
        <v>25</v>
      </c>
      <c r="L23" s="34" t="s">
        <v>24</v>
      </c>
      <c r="M23" s="34" t="s">
        <v>24</v>
      </c>
      <c r="N23" s="34" t="s">
        <v>24</v>
      </c>
      <c r="O23" s="34" t="s">
        <v>24</v>
      </c>
      <c r="P23" s="34" t="s">
        <v>24</v>
      </c>
      <c r="Q23" s="34" t="s">
        <v>24</v>
      </c>
      <c r="R23" s="34" t="s">
        <v>24</v>
      </c>
      <c r="S23" s="34" t="s">
        <v>24</v>
      </c>
      <c r="T23" s="34"/>
      <c r="U23" s="34" t="str">
        <f>VLOOKUP(Table5[[#This Row],[Field]],'[1]Business Rules - HON &amp; ATR'!$D:$J,7,FALSE)</f>
        <v>For each client, set to “Yes” only if there is evidence in the transcript or notes of a qualifying event within the last 12 months: bereavement, divorce/separation, job loss/redundancy, serious/critical illness, or mental health challenges. Otherwise, set to “No”</v>
      </c>
      <c r="V23" s="34"/>
      <c r="W23" s="34"/>
      <c r="X23" s="34"/>
    </row>
    <row r="24" spans="1:24" ht="221" x14ac:dyDescent="0.35">
      <c r="A24" s="33">
        <v>24</v>
      </c>
      <c r="B24" s="33" t="s">
        <v>101</v>
      </c>
      <c r="C24" s="34" t="s">
        <v>102</v>
      </c>
      <c r="D24" s="34" t="s">
        <v>39</v>
      </c>
      <c r="E24" s="34" t="s">
        <v>103</v>
      </c>
      <c r="F24" s="34"/>
      <c r="G24" s="34" t="s">
        <v>24</v>
      </c>
      <c r="H24" s="34" t="s">
        <v>47</v>
      </c>
      <c r="I24" s="34" t="s">
        <v>25</v>
      </c>
      <c r="J24" s="34" t="s">
        <v>24</v>
      </c>
      <c r="K24" s="34" t="s">
        <v>25</v>
      </c>
      <c r="L24" s="34" t="s">
        <v>24</v>
      </c>
      <c r="M24" s="34" t="s">
        <v>24</v>
      </c>
      <c r="N24" s="34" t="s">
        <v>24</v>
      </c>
      <c r="O24" s="34" t="s">
        <v>24</v>
      </c>
      <c r="P24" s="34" t="s">
        <v>24</v>
      </c>
      <c r="Q24" s="34" t="s">
        <v>24</v>
      </c>
      <c r="R24" s="34"/>
      <c r="S24" s="34"/>
      <c r="T24" s="34"/>
      <c r="U24" s="34" t="s">
        <v>1401</v>
      </c>
      <c r="V24" s="34" t="s">
        <v>25</v>
      </c>
      <c r="W24" s="34"/>
      <c r="X24" s="34" t="s">
        <v>24</v>
      </c>
    </row>
    <row r="25" spans="1:24" ht="221" x14ac:dyDescent="0.35">
      <c r="A25" s="33">
        <v>25</v>
      </c>
      <c r="B25" s="33" t="s">
        <v>101</v>
      </c>
      <c r="C25" s="34" t="s">
        <v>105</v>
      </c>
      <c r="D25" s="34" t="s">
        <v>39</v>
      </c>
      <c r="E25" s="34" t="s">
        <v>106</v>
      </c>
      <c r="F25" s="34"/>
      <c r="G25" s="34" t="s">
        <v>24</v>
      </c>
      <c r="H25" s="34" t="s">
        <v>47</v>
      </c>
      <c r="I25" s="34" t="s">
        <v>25</v>
      </c>
      <c r="J25" s="34" t="s">
        <v>24</v>
      </c>
      <c r="K25" s="34" t="s">
        <v>25</v>
      </c>
      <c r="L25" s="34" t="s">
        <v>24</v>
      </c>
      <c r="M25" s="34" t="s">
        <v>24</v>
      </c>
      <c r="N25" s="34" t="s">
        <v>24</v>
      </c>
      <c r="O25" s="34" t="s">
        <v>24</v>
      </c>
      <c r="P25" s="34" t="s">
        <v>24</v>
      </c>
      <c r="Q25" s="34" t="s">
        <v>24</v>
      </c>
      <c r="R25" s="34"/>
      <c r="S25" s="34"/>
      <c r="T25" s="34"/>
      <c r="U25" s="34" t="str">
        <f>VLOOKUP(Table5[[#This Row],[Field]],'[1]Business Rules - HON &amp; ATR'!$D:$J,7,FALSE)</f>
        <v>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25" s="34" t="s">
        <v>25</v>
      </c>
      <c r="W25" s="34"/>
      <c r="X25" s="34" t="s">
        <v>24</v>
      </c>
    </row>
    <row r="26" spans="1:24" ht="221" x14ac:dyDescent="0.35">
      <c r="A26" s="33">
        <v>26</v>
      </c>
      <c r="B26" s="33" t="s">
        <v>101</v>
      </c>
      <c r="C26" s="34" t="s">
        <v>108</v>
      </c>
      <c r="D26" s="34" t="s">
        <v>39</v>
      </c>
      <c r="E26" s="34" t="s">
        <v>108</v>
      </c>
      <c r="F26" s="34"/>
      <c r="G26" s="34" t="s">
        <v>24</v>
      </c>
      <c r="H26" s="34" t="s">
        <v>8</v>
      </c>
      <c r="I26" s="34" t="s">
        <v>24</v>
      </c>
      <c r="J26" s="34" t="s">
        <v>24</v>
      </c>
      <c r="K26" s="34" t="s">
        <v>25</v>
      </c>
      <c r="L26" s="34" t="s">
        <v>24</v>
      </c>
      <c r="M26" s="34" t="s">
        <v>24</v>
      </c>
      <c r="N26" s="34" t="s">
        <v>24</v>
      </c>
      <c r="O26" s="34" t="s">
        <v>24</v>
      </c>
      <c r="P26" s="34" t="s">
        <v>24</v>
      </c>
      <c r="Q26" s="34" t="s">
        <v>24</v>
      </c>
      <c r="R26" s="34"/>
      <c r="S26" s="34"/>
      <c r="T26" s="34"/>
      <c r="U26" s="34" t="s">
        <v>1403</v>
      </c>
      <c r="V26" s="34" t="s">
        <v>25</v>
      </c>
      <c r="W26" s="34"/>
      <c r="X26" s="34"/>
    </row>
    <row r="27" spans="1:24" ht="234" x14ac:dyDescent="0.35">
      <c r="A27" s="33">
        <v>27</v>
      </c>
      <c r="B27" s="33" t="s">
        <v>101</v>
      </c>
      <c r="C27" s="34" t="s">
        <v>110</v>
      </c>
      <c r="D27" s="34" t="s">
        <v>39</v>
      </c>
      <c r="E27" s="34" t="s">
        <v>110</v>
      </c>
      <c r="F27" s="34"/>
      <c r="G27" s="34" t="s">
        <v>24</v>
      </c>
      <c r="H27" s="34" t="s">
        <v>8</v>
      </c>
      <c r="I27" s="34" t="s">
        <v>24</v>
      </c>
      <c r="J27" s="34" t="s">
        <v>24</v>
      </c>
      <c r="K27" s="34" t="s">
        <v>25</v>
      </c>
      <c r="L27" s="34" t="s">
        <v>24</v>
      </c>
      <c r="M27" s="34" t="s">
        <v>24</v>
      </c>
      <c r="N27" s="34" t="s">
        <v>24</v>
      </c>
      <c r="O27" s="34" t="s">
        <v>24</v>
      </c>
      <c r="P27" s="34" t="s">
        <v>24</v>
      </c>
      <c r="Q27" s="34" t="s">
        <v>24</v>
      </c>
      <c r="R27" s="34"/>
      <c r="S27" s="34"/>
      <c r="T27" s="34"/>
      <c r="U27" s="34" t="s">
        <v>1404</v>
      </c>
      <c r="V27" s="34" t="s">
        <v>25</v>
      </c>
      <c r="W27" s="34"/>
      <c r="X27" s="34"/>
    </row>
    <row r="28" spans="1:24" ht="234" x14ac:dyDescent="0.35">
      <c r="A28" s="33">
        <v>28</v>
      </c>
      <c r="B28" s="33" t="s">
        <v>101</v>
      </c>
      <c r="C28" s="34" t="s">
        <v>112</v>
      </c>
      <c r="D28" s="34" t="s">
        <v>39</v>
      </c>
      <c r="E28" s="34" t="s">
        <v>112</v>
      </c>
      <c r="F28" s="34"/>
      <c r="G28" s="34" t="s">
        <v>24</v>
      </c>
      <c r="H28" s="34" t="s">
        <v>8</v>
      </c>
      <c r="I28" s="34" t="s">
        <v>24</v>
      </c>
      <c r="J28" s="34" t="s">
        <v>24</v>
      </c>
      <c r="K28" s="34" t="s">
        <v>25</v>
      </c>
      <c r="L28" s="34" t="s">
        <v>24</v>
      </c>
      <c r="M28" s="34" t="s">
        <v>24</v>
      </c>
      <c r="N28" s="34" t="s">
        <v>24</v>
      </c>
      <c r="O28" s="34" t="s">
        <v>24</v>
      </c>
      <c r="P28" s="34" t="s">
        <v>24</v>
      </c>
      <c r="Q28" s="34" t="s">
        <v>24</v>
      </c>
      <c r="R28" s="34"/>
      <c r="S28" s="34"/>
      <c r="T28" s="34"/>
      <c r="U28" s="34" t="s">
        <v>1405</v>
      </c>
      <c r="V28" s="34" t="s">
        <v>25</v>
      </c>
      <c r="W28" s="34"/>
      <c r="X28" s="34"/>
    </row>
    <row r="29" spans="1:24" ht="221" x14ac:dyDescent="0.35">
      <c r="A29" s="33">
        <v>29</v>
      </c>
      <c r="B29" s="33" t="s">
        <v>101</v>
      </c>
      <c r="C29" s="34" t="s">
        <v>114</v>
      </c>
      <c r="D29" s="34" t="s">
        <v>39</v>
      </c>
      <c r="E29" s="34" t="s">
        <v>114</v>
      </c>
      <c r="F29" s="34"/>
      <c r="G29" s="34" t="s">
        <v>24</v>
      </c>
      <c r="H29" s="34" t="s">
        <v>8</v>
      </c>
      <c r="I29" s="34" t="s">
        <v>24</v>
      </c>
      <c r="J29" s="34" t="s">
        <v>24</v>
      </c>
      <c r="K29" s="34" t="s">
        <v>25</v>
      </c>
      <c r="L29" s="34" t="s">
        <v>24</v>
      </c>
      <c r="M29" s="34" t="s">
        <v>24</v>
      </c>
      <c r="N29" s="34" t="s">
        <v>24</v>
      </c>
      <c r="O29" s="34" t="s">
        <v>24</v>
      </c>
      <c r="P29" s="34" t="s">
        <v>24</v>
      </c>
      <c r="Q29" s="34" t="s">
        <v>24</v>
      </c>
      <c r="R29" s="34"/>
      <c r="S29" s="34"/>
      <c r="T29" s="34"/>
      <c r="U29" s="34" t="s">
        <v>1406</v>
      </c>
      <c r="V29" s="34" t="s">
        <v>25</v>
      </c>
      <c r="W29" s="34"/>
      <c r="X29" s="34"/>
    </row>
    <row r="30" spans="1:24" ht="221" x14ac:dyDescent="0.35">
      <c r="A30" s="33">
        <v>30</v>
      </c>
      <c r="B30" s="33" t="s">
        <v>101</v>
      </c>
      <c r="C30" s="34" t="s">
        <v>116</v>
      </c>
      <c r="D30" s="34" t="s">
        <v>39</v>
      </c>
      <c r="E30" s="34" t="s">
        <v>116</v>
      </c>
      <c r="F30" s="34"/>
      <c r="G30" s="34" t="s">
        <v>24</v>
      </c>
      <c r="H30" s="34" t="s">
        <v>8</v>
      </c>
      <c r="I30" s="34" t="s">
        <v>24</v>
      </c>
      <c r="J30" s="34" t="s">
        <v>24</v>
      </c>
      <c r="K30" s="34" t="s">
        <v>25</v>
      </c>
      <c r="L30" s="34" t="s">
        <v>24</v>
      </c>
      <c r="M30" s="34" t="s">
        <v>24</v>
      </c>
      <c r="N30" s="34" t="s">
        <v>24</v>
      </c>
      <c r="O30" s="34" t="s">
        <v>24</v>
      </c>
      <c r="P30" s="34" t="s">
        <v>24</v>
      </c>
      <c r="Q30" s="34" t="s">
        <v>24</v>
      </c>
      <c r="R30" s="34"/>
      <c r="S30" s="34"/>
      <c r="T30" s="34"/>
      <c r="U30" s="34" t="s">
        <v>1407</v>
      </c>
      <c r="V30" s="34" t="s">
        <v>25</v>
      </c>
      <c r="W30" s="34"/>
      <c r="X30" s="34"/>
    </row>
    <row r="31" spans="1:24" ht="234" x14ac:dyDescent="0.35">
      <c r="A31" s="33">
        <v>31</v>
      </c>
      <c r="B31" s="33" t="s">
        <v>101</v>
      </c>
      <c r="C31" s="34" t="s">
        <v>118</v>
      </c>
      <c r="D31" s="34" t="s">
        <v>39</v>
      </c>
      <c r="E31" s="34" t="s">
        <v>118</v>
      </c>
      <c r="F31" s="34"/>
      <c r="G31" s="34" t="s">
        <v>24</v>
      </c>
      <c r="H31" s="34" t="s">
        <v>8</v>
      </c>
      <c r="I31" s="34" t="s">
        <v>24</v>
      </c>
      <c r="J31" s="34" t="s">
        <v>24</v>
      </c>
      <c r="K31" s="34" t="s">
        <v>25</v>
      </c>
      <c r="L31" s="34" t="s">
        <v>24</v>
      </c>
      <c r="M31" s="34" t="s">
        <v>24</v>
      </c>
      <c r="N31" s="34" t="s">
        <v>24</v>
      </c>
      <c r="O31" s="34" t="s">
        <v>24</v>
      </c>
      <c r="P31" s="34" t="s">
        <v>24</v>
      </c>
      <c r="Q31" s="34" t="s">
        <v>24</v>
      </c>
      <c r="R31" s="34"/>
      <c r="S31" s="34"/>
      <c r="T31" s="34"/>
      <c r="U31" s="34" t="s">
        <v>1408</v>
      </c>
      <c r="V31" s="34" t="s">
        <v>25</v>
      </c>
      <c r="W31" s="34"/>
      <c r="X31" s="34"/>
    </row>
    <row r="32" spans="1:24" ht="221" x14ac:dyDescent="0.35">
      <c r="A32" s="33">
        <v>32</v>
      </c>
      <c r="B32" s="33" t="s">
        <v>101</v>
      </c>
      <c r="C32" s="34" t="s">
        <v>120</v>
      </c>
      <c r="D32" s="34" t="s">
        <v>39</v>
      </c>
      <c r="E32" s="34" t="s">
        <v>120</v>
      </c>
      <c r="F32" s="34"/>
      <c r="G32" s="34" t="s">
        <v>24</v>
      </c>
      <c r="H32" s="34" t="s">
        <v>8</v>
      </c>
      <c r="I32" s="34" t="s">
        <v>24</v>
      </c>
      <c r="J32" s="34" t="s">
        <v>24</v>
      </c>
      <c r="K32" s="34" t="s">
        <v>25</v>
      </c>
      <c r="L32" s="34" t="s">
        <v>24</v>
      </c>
      <c r="M32" s="34" t="s">
        <v>24</v>
      </c>
      <c r="N32" s="34" t="s">
        <v>24</v>
      </c>
      <c r="O32" s="34" t="s">
        <v>24</v>
      </c>
      <c r="P32" s="34" t="s">
        <v>24</v>
      </c>
      <c r="Q32" s="34" t="s">
        <v>24</v>
      </c>
      <c r="R32" s="34"/>
      <c r="S32" s="34"/>
      <c r="T32" s="34"/>
      <c r="U32" s="34" t="str">
        <f>VLOOKUP(Table5[[#This Row],[Field]],'[1]Business Rules - HON &amp; ATR'!$D:$J,7,FALSE)</f>
        <v>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32" s="34" t="s">
        <v>25</v>
      </c>
      <c r="W32" s="34"/>
      <c r="X32" s="34"/>
    </row>
    <row r="33" spans="1:24" ht="234" x14ac:dyDescent="0.35">
      <c r="A33" s="33">
        <v>33</v>
      </c>
      <c r="B33" s="33" t="s">
        <v>101</v>
      </c>
      <c r="C33" s="34" t="s">
        <v>122</v>
      </c>
      <c r="D33" s="34" t="s">
        <v>39</v>
      </c>
      <c r="E33" s="34" t="s">
        <v>122</v>
      </c>
      <c r="F33" s="34"/>
      <c r="G33" s="34" t="s">
        <v>24</v>
      </c>
      <c r="H33" s="34" t="s">
        <v>8</v>
      </c>
      <c r="I33" s="34" t="s">
        <v>24</v>
      </c>
      <c r="J33" s="34" t="s">
        <v>24</v>
      </c>
      <c r="K33" s="34" t="s">
        <v>25</v>
      </c>
      <c r="L33" s="34" t="s">
        <v>24</v>
      </c>
      <c r="M33" s="34" t="s">
        <v>24</v>
      </c>
      <c r="N33" s="34" t="s">
        <v>24</v>
      </c>
      <c r="O33" s="34" t="s">
        <v>24</v>
      </c>
      <c r="P33" s="34" t="s">
        <v>24</v>
      </c>
      <c r="Q33" s="34" t="s">
        <v>24</v>
      </c>
      <c r="R33" s="34"/>
      <c r="S33" s="34"/>
      <c r="T33" s="34"/>
      <c r="U33" s="34" t="str">
        <f>VLOOKUP(Table5[[#This Row],[Field]],'[1]Business Rules - HON &amp; ATR'!$D:$J,7,FALSE)</f>
        <v>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33" s="34" t="s">
        <v>25</v>
      </c>
      <c r="W33" s="34"/>
      <c r="X33" s="34"/>
    </row>
    <row r="34" spans="1:24" ht="260" x14ac:dyDescent="0.35">
      <c r="A34" s="33">
        <v>34</v>
      </c>
      <c r="B34" s="33" t="s">
        <v>101</v>
      </c>
      <c r="C34" s="34" t="s">
        <v>1207</v>
      </c>
      <c r="D34" s="34" t="s">
        <v>39</v>
      </c>
      <c r="E34" s="34" t="s">
        <v>125</v>
      </c>
      <c r="F34" s="34"/>
      <c r="G34" s="34" t="s">
        <v>24</v>
      </c>
      <c r="H34" s="34" t="s">
        <v>47</v>
      </c>
      <c r="I34" s="34" t="s">
        <v>25</v>
      </c>
      <c r="J34" s="34" t="s">
        <v>24</v>
      </c>
      <c r="K34" s="34" t="s">
        <v>25</v>
      </c>
      <c r="L34" s="34" t="s">
        <v>24</v>
      </c>
      <c r="M34" s="34" t="s">
        <v>24</v>
      </c>
      <c r="N34" s="34" t="s">
        <v>24</v>
      </c>
      <c r="O34" s="34" t="s">
        <v>24</v>
      </c>
      <c r="P34" s="34" t="s">
        <v>24</v>
      </c>
      <c r="Q34" s="34" t="s">
        <v>24</v>
      </c>
      <c r="R34" s="34"/>
      <c r="S34" s="34"/>
      <c r="T34" s="34"/>
      <c r="U34" s="34" t="s">
        <v>1411</v>
      </c>
      <c r="V34" s="34" t="s">
        <v>25</v>
      </c>
      <c r="W34" s="34"/>
      <c r="X34" s="34" t="s">
        <v>24</v>
      </c>
    </row>
    <row r="35" spans="1:24" ht="143" x14ac:dyDescent="0.35">
      <c r="A35" s="33">
        <v>35</v>
      </c>
      <c r="B35" s="33" t="s">
        <v>101</v>
      </c>
      <c r="C35" s="34" t="s">
        <v>127</v>
      </c>
      <c r="D35" s="34" t="s">
        <v>39</v>
      </c>
      <c r="E35" s="34" t="s">
        <v>128</v>
      </c>
      <c r="F35" s="34"/>
      <c r="G35" s="34" t="s">
        <v>24</v>
      </c>
      <c r="H35" s="34" t="s">
        <v>47</v>
      </c>
      <c r="I35" s="34" t="s">
        <v>25</v>
      </c>
      <c r="J35" s="34" t="s">
        <v>24</v>
      </c>
      <c r="K35" s="34" t="s">
        <v>25</v>
      </c>
      <c r="L35" s="34" t="s">
        <v>24</v>
      </c>
      <c r="M35" s="34" t="s">
        <v>24</v>
      </c>
      <c r="N35" s="34" t="s">
        <v>24</v>
      </c>
      <c r="O35" s="34" t="s">
        <v>24</v>
      </c>
      <c r="P35" s="34" t="s">
        <v>24</v>
      </c>
      <c r="Q35" s="34" t="s">
        <v>24</v>
      </c>
      <c r="R35" s="34"/>
      <c r="S35" s="34"/>
      <c r="T35" s="34"/>
      <c r="U35" s="34" t="s">
        <v>1490</v>
      </c>
      <c r="V35" s="34" t="s">
        <v>25</v>
      </c>
      <c r="W35" s="34"/>
      <c r="X35" s="34" t="s">
        <v>24</v>
      </c>
    </row>
    <row r="36" spans="1:24" ht="143" x14ac:dyDescent="0.35">
      <c r="A36" s="33">
        <v>36</v>
      </c>
      <c r="B36" s="33" t="s">
        <v>101</v>
      </c>
      <c r="C36" s="34" t="s">
        <v>130</v>
      </c>
      <c r="D36" s="34" t="s">
        <v>39</v>
      </c>
      <c r="E36" s="34" t="s">
        <v>131</v>
      </c>
      <c r="F36" s="34"/>
      <c r="G36" s="34" t="s">
        <v>24</v>
      </c>
      <c r="H36" s="34" t="s">
        <v>47</v>
      </c>
      <c r="I36" s="34" t="s">
        <v>25</v>
      </c>
      <c r="J36" s="34" t="s">
        <v>24</v>
      </c>
      <c r="K36" s="34" t="s">
        <v>25</v>
      </c>
      <c r="L36" s="34" t="s">
        <v>24</v>
      </c>
      <c r="M36" s="34" t="s">
        <v>24</v>
      </c>
      <c r="N36" s="34" t="s">
        <v>24</v>
      </c>
      <c r="O36" s="34" t="s">
        <v>24</v>
      </c>
      <c r="P36" s="34" t="s">
        <v>24</v>
      </c>
      <c r="Q36" s="34" t="s">
        <v>24</v>
      </c>
      <c r="R36" s="34"/>
      <c r="S36" s="34"/>
      <c r="T36" s="34"/>
      <c r="U36" s="34" t="s">
        <v>1413</v>
      </c>
      <c r="V36" s="34" t="s">
        <v>25</v>
      </c>
      <c r="W36" s="34"/>
      <c r="X36" s="34" t="s">
        <v>24</v>
      </c>
    </row>
    <row r="37" spans="1:24" ht="143" x14ac:dyDescent="0.35">
      <c r="A37" s="33">
        <v>37</v>
      </c>
      <c r="B37" s="33" t="s">
        <v>101</v>
      </c>
      <c r="C37" s="34" t="s">
        <v>133</v>
      </c>
      <c r="D37" s="34" t="s">
        <v>39</v>
      </c>
      <c r="E37" s="34" t="s">
        <v>134</v>
      </c>
      <c r="F37" s="34"/>
      <c r="G37" s="34" t="s">
        <v>24</v>
      </c>
      <c r="H37" s="34" t="s">
        <v>47</v>
      </c>
      <c r="I37" s="34" t="s">
        <v>25</v>
      </c>
      <c r="J37" s="34" t="s">
        <v>24</v>
      </c>
      <c r="K37" s="34" t="s">
        <v>25</v>
      </c>
      <c r="L37" s="34" t="s">
        <v>24</v>
      </c>
      <c r="M37" s="34" t="s">
        <v>24</v>
      </c>
      <c r="N37" s="34" t="s">
        <v>24</v>
      </c>
      <c r="O37" s="34" t="s">
        <v>24</v>
      </c>
      <c r="P37" s="34" t="s">
        <v>24</v>
      </c>
      <c r="Q37" s="34" t="s">
        <v>24</v>
      </c>
      <c r="R37" s="34"/>
      <c r="S37" s="34"/>
      <c r="T37" s="34"/>
      <c r="U37" s="34" t="s">
        <v>1414</v>
      </c>
      <c r="V37" s="34"/>
      <c r="W37" s="34"/>
      <c r="X37" s="34" t="s">
        <v>24</v>
      </c>
    </row>
    <row r="38" spans="1:24" ht="143" x14ac:dyDescent="0.35">
      <c r="A38" s="33">
        <v>38</v>
      </c>
      <c r="B38" s="33" t="s">
        <v>101</v>
      </c>
      <c r="C38" s="34" t="s">
        <v>136</v>
      </c>
      <c r="D38" s="34" t="s">
        <v>39</v>
      </c>
      <c r="E38" s="34" t="s">
        <v>137</v>
      </c>
      <c r="F38" s="34"/>
      <c r="G38" s="34" t="s">
        <v>24</v>
      </c>
      <c r="H38" s="34" t="s">
        <v>47</v>
      </c>
      <c r="I38" s="34" t="s">
        <v>25</v>
      </c>
      <c r="J38" s="34" t="s">
        <v>24</v>
      </c>
      <c r="K38" s="34" t="s">
        <v>25</v>
      </c>
      <c r="L38" s="34" t="s">
        <v>24</v>
      </c>
      <c r="M38" s="34" t="s">
        <v>24</v>
      </c>
      <c r="N38" s="34" t="s">
        <v>24</v>
      </c>
      <c r="O38" s="34" t="s">
        <v>24</v>
      </c>
      <c r="P38" s="34" t="s">
        <v>24</v>
      </c>
      <c r="Q38" s="34" t="s">
        <v>24</v>
      </c>
      <c r="R38" s="34"/>
      <c r="S38" s="34"/>
      <c r="T38" s="34"/>
      <c r="U38" s="34" t="s">
        <v>1415</v>
      </c>
      <c r="V38" s="34" t="s">
        <v>25</v>
      </c>
      <c r="W38" s="34"/>
      <c r="X38" s="34" t="s">
        <v>24</v>
      </c>
    </row>
    <row r="39" spans="1:24" ht="143" x14ac:dyDescent="0.35">
      <c r="A39" s="33">
        <v>39</v>
      </c>
      <c r="B39" s="33" t="s">
        <v>101</v>
      </c>
      <c r="C39" s="46" t="s">
        <v>139</v>
      </c>
      <c r="D39" s="34" t="s">
        <v>39</v>
      </c>
      <c r="E39" s="34" t="s">
        <v>140</v>
      </c>
      <c r="F39" s="34"/>
      <c r="G39" s="34" t="s">
        <v>24</v>
      </c>
      <c r="H39" s="34" t="s">
        <v>47</v>
      </c>
      <c r="I39" s="34" t="s">
        <v>25</v>
      </c>
      <c r="J39" s="34" t="s">
        <v>24</v>
      </c>
      <c r="K39" s="34" t="s">
        <v>25</v>
      </c>
      <c r="L39" s="34" t="s">
        <v>24</v>
      </c>
      <c r="M39" s="34" t="s">
        <v>24</v>
      </c>
      <c r="N39" s="34" t="s">
        <v>24</v>
      </c>
      <c r="O39" s="34" t="s">
        <v>24</v>
      </c>
      <c r="P39" s="34" t="s">
        <v>24</v>
      </c>
      <c r="Q39" s="34" t="s">
        <v>24</v>
      </c>
      <c r="R39" s="34"/>
      <c r="S39" s="34"/>
      <c r="T39" s="34"/>
      <c r="U39" s="34" t="s">
        <v>1416</v>
      </c>
      <c r="V39" s="34" t="s">
        <v>25</v>
      </c>
      <c r="W39" s="34"/>
      <c r="X39" s="34" t="s">
        <v>24</v>
      </c>
    </row>
    <row r="40" spans="1:24" ht="143" x14ac:dyDescent="0.35">
      <c r="A40" s="33">
        <v>40</v>
      </c>
      <c r="B40" s="33" t="s">
        <v>101</v>
      </c>
      <c r="C40" s="46" t="s">
        <v>142</v>
      </c>
      <c r="D40" s="34" t="s">
        <v>39</v>
      </c>
      <c r="E40" s="46" t="s">
        <v>143</v>
      </c>
      <c r="F40" s="46"/>
      <c r="G40" s="34" t="s">
        <v>24</v>
      </c>
      <c r="H40" s="34" t="s">
        <v>47</v>
      </c>
      <c r="I40" s="34" t="s">
        <v>25</v>
      </c>
      <c r="J40" s="34" t="s">
        <v>24</v>
      </c>
      <c r="K40" s="34" t="s">
        <v>25</v>
      </c>
      <c r="L40" s="34" t="s">
        <v>24</v>
      </c>
      <c r="M40" s="34" t="s">
        <v>24</v>
      </c>
      <c r="N40" s="34" t="s">
        <v>24</v>
      </c>
      <c r="O40" s="34" t="s">
        <v>24</v>
      </c>
      <c r="P40" s="34" t="s">
        <v>24</v>
      </c>
      <c r="Q40" s="34" t="s">
        <v>24</v>
      </c>
      <c r="R40" s="34"/>
      <c r="S40" s="34"/>
      <c r="T40" s="34"/>
      <c r="U40" s="34" t="s">
        <v>1417</v>
      </c>
      <c r="V40" s="34"/>
      <c r="W40" s="34"/>
      <c r="X40" s="34" t="s">
        <v>24</v>
      </c>
    </row>
    <row r="41" spans="1:24" ht="143" x14ac:dyDescent="0.35">
      <c r="A41" s="33">
        <v>41</v>
      </c>
      <c r="B41" s="33" t="s">
        <v>101</v>
      </c>
      <c r="C41" s="46" t="s">
        <v>145</v>
      </c>
      <c r="D41" s="34" t="s">
        <v>39</v>
      </c>
      <c r="E41" s="46" t="s">
        <v>146</v>
      </c>
      <c r="F41" s="46"/>
      <c r="G41" s="34" t="s">
        <v>24</v>
      </c>
      <c r="H41" s="34" t="s">
        <v>47</v>
      </c>
      <c r="I41" s="34" t="s">
        <v>25</v>
      </c>
      <c r="J41" s="34" t="s">
        <v>24</v>
      </c>
      <c r="K41" s="34" t="s">
        <v>25</v>
      </c>
      <c r="L41" s="34" t="s">
        <v>24</v>
      </c>
      <c r="M41" s="34" t="s">
        <v>24</v>
      </c>
      <c r="N41" s="34" t="s">
        <v>24</v>
      </c>
      <c r="O41" s="34" t="s">
        <v>24</v>
      </c>
      <c r="P41" s="34" t="s">
        <v>24</v>
      </c>
      <c r="Q41" s="34" t="s">
        <v>24</v>
      </c>
      <c r="R41" s="34"/>
      <c r="S41" s="34"/>
      <c r="T41" s="34"/>
      <c r="U41" s="34" t="s">
        <v>1418</v>
      </c>
      <c r="V41" s="34"/>
      <c r="W41" s="34"/>
      <c r="X41" s="34" t="s">
        <v>24</v>
      </c>
    </row>
    <row r="42" spans="1:24" ht="169" x14ac:dyDescent="0.35">
      <c r="A42" s="33">
        <v>42</v>
      </c>
      <c r="B42" s="33" t="s">
        <v>101</v>
      </c>
      <c r="C42" s="46" t="s">
        <v>1216</v>
      </c>
      <c r="D42" s="34" t="s">
        <v>39</v>
      </c>
      <c r="E42" s="46" t="s">
        <v>149</v>
      </c>
      <c r="F42" s="46"/>
      <c r="G42" s="34" t="s">
        <v>24</v>
      </c>
      <c r="H42" s="34" t="s">
        <v>47</v>
      </c>
      <c r="I42" s="34" t="s">
        <v>25</v>
      </c>
      <c r="J42" s="34" t="s">
        <v>24</v>
      </c>
      <c r="K42" s="34" t="s">
        <v>25</v>
      </c>
      <c r="L42" s="34" t="s">
        <v>24</v>
      </c>
      <c r="M42" s="34" t="s">
        <v>24</v>
      </c>
      <c r="N42" s="34" t="s">
        <v>24</v>
      </c>
      <c r="O42" s="34" t="s">
        <v>24</v>
      </c>
      <c r="P42" s="34" t="s">
        <v>24</v>
      </c>
      <c r="Q42" s="34" t="s">
        <v>24</v>
      </c>
      <c r="R42" s="34"/>
      <c r="S42" s="34"/>
      <c r="T42" s="34"/>
      <c r="U42" s="34" t="s">
        <v>1419</v>
      </c>
      <c r="V42" s="34"/>
      <c r="W42" s="34"/>
      <c r="X42" s="34" t="s">
        <v>24</v>
      </c>
    </row>
    <row r="43" spans="1:24" ht="143" x14ac:dyDescent="0.35">
      <c r="A43" s="33">
        <v>43</v>
      </c>
      <c r="B43" s="33" t="s">
        <v>101</v>
      </c>
      <c r="C43" s="46" t="s">
        <v>151</v>
      </c>
      <c r="D43" s="34" t="s">
        <v>39</v>
      </c>
      <c r="E43" s="46" t="s">
        <v>152</v>
      </c>
      <c r="F43" s="46"/>
      <c r="G43" s="34" t="s">
        <v>24</v>
      </c>
      <c r="H43" s="34" t="s">
        <v>47</v>
      </c>
      <c r="I43" s="34" t="s">
        <v>25</v>
      </c>
      <c r="J43" s="34" t="s">
        <v>24</v>
      </c>
      <c r="K43" s="34" t="s">
        <v>25</v>
      </c>
      <c r="L43" s="34" t="s">
        <v>24</v>
      </c>
      <c r="M43" s="34" t="s">
        <v>24</v>
      </c>
      <c r="N43" s="34" t="s">
        <v>24</v>
      </c>
      <c r="O43" s="34" t="s">
        <v>24</v>
      </c>
      <c r="P43" s="34" t="s">
        <v>24</v>
      </c>
      <c r="Q43" s="34" t="s">
        <v>24</v>
      </c>
      <c r="R43" s="34"/>
      <c r="S43" s="34"/>
      <c r="T43" s="34"/>
      <c r="U43" s="34" t="s">
        <v>1420</v>
      </c>
      <c r="V43" s="34"/>
      <c r="W43" s="34"/>
      <c r="X43" s="34" t="s">
        <v>24</v>
      </c>
    </row>
    <row r="44" spans="1:24" ht="143" x14ac:dyDescent="0.35">
      <c r="A44" s="33">
        <v>44</v>
      </c>
      <c r="B44" s="33" t="s">
        <v>101</v>
      </c>
      <c r="C44" s="46" t="s">
        <v>154</v>
      </c>
      <c r="D44" s="34" t="s">
        <v>39</v>
      </c>
      <c r="E44" s="46" t="s">
        <v>155</v>
      </c>
      <c r="F44" s="46"/>
      <c r="G44" s="34" t="s">
        <v>24</v>
      </c>
      <c r="H44" s="34" t="s">
        <v>47</v>
      </c>
      <c r="I44" s="34" t="s">
        <v>25</v>
      </c>
      <c r="J44" s="34" t="s">
        <v>24</v>
      </c>
      <c r="K44" s="34" t="s">
        <v>25</v>
      </c>
      <c r="L44" s="34" t="s">
        <v>24</v>
      </c>
      <c r="M44" s="34" t="s">
        <v>24</v>
      </c>
      <c r="N44" s="34" t="s">
        <v>24</v>
      </c>
      <c r="O44" s="34" t="s">
        <v>24</v>
      </c>
      <c r="P44" s="34" t="s">
        <v>24</v>
      </c>
      <c r="Q44" s="34" t="s">
        <v>24</v>
      </c>
      <c r="R44" s="34"/>
      <c r="S44" s="34"/>
      <c r="T44" s="34"/>
      <c r="U44" s="34" t="s">
        <v>1421</v>
      </c>
      <c r="V44" s="34"/>
      <c r="W44" s="34"/>
      <c r="X44" s="34" t="s">
        <v>24</v>
      </c>
    </row>
    <row r="45" spans="1:24" ht="143" x14ac:dyDescent="0.35">
      <c r="A45" s="33">
        <v>45</v>
      </c>
      <c r="B45" s="33" t="s">
        <v>101</v>
      </c>
      <c r="C45" s="46" t="s">
        <v>157</v>
      </c>
      <c r="D45" s="34" t="s">
        <v>39</v>
      </c>
      <c r="E45" s="34" t="s">
        <v>158</v>
      </c>
      <c r="F45" s="34"/>
      <c r="G45" s="34" t="s">
        <v>24</v>
      </c>
      <c r="H45" s="34" t="s">
        <v>47</v>
      </c>
      <c r="I45" s="34" t="s">
        <v>25</v>
      </c>
      <c r="J45" s="34" t="s">
        <v>24</v>
      </c>
      <c r="K45" s="34" t="s">
        <v>25</v>
      </c>
      <c r="L45" s="34" t="s">
        <v>24</v>
      </c>
      <c r="M45" s="34" t="s">
        <v>24</v>
      </c>
      <c r="N45" s="34" t="s">
        <v>24</v>
      </c>
      <c r="O45" s="34" t="s">
        <v>24</v>
      </c>
      <c r="P45" s="34" t="s">
        <v>24</v>
      </c>
      <c r="Q45" s="34" t="s">
        <v>24</v>
      </c>
      <c r="R45" s="34"/>
      <c r="S45" s="34"/>
      <c r="T45" s="34"/>
      <c r="U45" s="34" t="s">
        <v>1422</v>
      </c>
      <c r="V45" s="34" t="s">
        <v>25</v>
      </c>
      <c r="W45" s="34"/>
      <c r="X45" s="34" t="s">
        <v>24</v>
      </c>
    </row>
    <row r="46" spans="1:24" ht="143" x14ac:dyDescent="0.35">
      <c r="A46" s="33">
        <v>46</v>
      </c>
      <c r="B46" s="33" t="s">
        <v>101</v>
      </c>
      <c r="C46" s="34" t="s">
        <v>160</v>
      </c>
      <c r="D46" s="34" t="s">
        <v>39</v>
      </c>
      <c r="E46" s="34" t="s">
        <v>161</v>
      </c>
      <c r="F46" s="34"/>
      <c r="G46" s="34" t="s">
        <v>24</v>
      </c>
      <c r="H46" s="34" t="s">
        <v>47</v>
      </c>
      <c r="I46" s="34" t="s">
        <v>25</v>
      </c>
      <c r="J46" s="34" t="s">
        <v>24</v>
      </c>
      <c r="K46" s="34" t="s">
        <v>25</v>
      </c>
      <c r="L46" s="34" t="s">
        <v>24</v>
      </c>
      <c r="M46" s="34" t="s">
        <v>24</v>
      </c>
      <c r="N46" s="34" t="s">
        <v>24</v>
      </c>
      <c r="O46" s="34" t="s">
        <v>24</v>
      </c>
      <c r="P46" s="34" t="s">
        <v>24</v>
      </c>
      <c r="Q46" s="34" t="s">
        <v>24</v>
      </c>
      <c r="R46" s="34"/>
      <c r="S46" s="34"/>
      <c r="T46" s="34"/>
      <c r="U46" s="34" t="s">
        <v>1423</v>
      </c>
      <c r="V46" s="34" t="s">
        <v>25</v>
      </c>
      <c r="W46" s="34"/>
      <c r="X46" s="34" t="s">
        <v>24</v>
      </c>
    </row>
    <row r="47" spans="1:24" ht="143" x14ac:dyDescent="0.35">
      <c r="A47" s="33">
        <v>47</v>
      </c>
      <c r="B47" s="33" t="s">
        <v>101</v>
      </c>
      <c r="C47" s="46" t="s">
        <v>1222</v>
      </c>
      <c r="D47" s="34" t="s">
        <v>39</v>
      </c>
      <c r="E47" s="34" t="s">
        <v>164</v>
      </c>
      <c r="F47" s="34"/>
      <c r="G47" s="34" t="s">
        <v>24</v>
      </c>
      <c r="H47" s="34" t="s">
        <v>47</v>
      </c>
      <c r="I47" s="34" t="s">
        <v>25</v>
      </c>
      <c r="J47" s="34" t="s">
        <v>24</v>
      </c>
      <c r="K47" s="34" t="s">
        <v>25</v>
      </c>
      <c r="L47" s="34" t="s">
        <v>24</v>
      </c>
      <c r="M47" s="34" t="s">
        <v>24</v>
      </c>
      <c r="N47" s="34" t="s">
        <v>24</v>
      </c>
      <c r="O47" s="34" t="s">
        <v>24</v>
      </c>
      <c r="P47" s="34" t="s">
        <v>24</v>
      </c>
      <c r="Q47" s="34" t="s">
        <v>24</v>
      </c>
      <c r="R47" s="34"/>
      <c r="S47" s="34"/>
      <c r="T47" s="34"/>
      <c r="U47" s="34" t="s">
        <v>1424</v>
      </c>
      <c r="V47" s="34" t="s">
        <v>25</v>
      </c>
      <c r="W47" s="34"/>
      <c r="X47" s="34" t="s">
        <v>24</v>
      </c>
    </row>
    <row r="48" spans="1:24" ht="143" x14ac:dyDescent="0.35">
      <c r="A48" s="33">
        <v>48</v>
      </c>
      <c r="B48" s="33" t="s">
        <v>101</v>
      </c>
      <c r="C48" s="46" t="s">
        <v>166</v>
      </c>
      <c r="D48" s="34" t="s">
        <v>39</v>
      </c>
      <c r="E48" s="34" t="s">
        <v>167</v>
      </c>
      <c r="F48" s="34"/>
      <c r="G48" s="34" t="s">
        <v>24</v>
      </c>
      <c r="H48" s="34" t="s">
        <v>47</v>
      </c>
      <c r="I48" s="34" t="s">
        <v>25</v>
      </c>
      <c r="J48" s="34" t="s">
        <v>24</v>
      </c>
      <c r="K48" s="34" t="s">
        <v>25</v>
      </c>
      <c r="L48" s="34" t="s">
        <v>24</v>
      </c>
      <c r="M48" s="34" t="s">
        <v>24</v>
      </c>
      <c r="N48" s="34" t="s">
        <v>24</v>
      </c>
      <c r="O48" s="34" t="s">
        <v>24</v>
      </c>
      <c r="P48" s="34" t="s">
        <v>24</v>
      </c>
      <c r="Q48" s="34" t="s">
        <v>24</v>
      </c>
      <c r="R48" s="34"/>
      <c r="S48" s="34"/>
      <c r="T48" s="34"/>
      <c r="U48" s="34" t="s">
        <v>1425</v>
      </c>
      <c r="V48" s="34"/>
      <c r="W48" s="34"/>
      <c r="X48" s="34" t="s">
        <v>24</v>
      </c>
    </row>
    <row r="49" spans="1:24" ht="143" x14ac:dyDescent="0.35">
      <c r="A49" s="33">
        <v>49</v>
      </c>
      <c r="B49" s="33" t="s">
        <v>101</v>
      </c>
      <c r="C49" s="46" t="s">
        <v>169</v>
      </c>
      <c r="D49" s="34" t="s">
        <v>39</v>
      </c>
      <c r="E49" s="34" t="s">
        <v>170</v>
      </c>
      <c r="F49" s="34"/>
      <c r="G49" s="34" t="s">
        <v>24</v>
      </c>
      <c r="H49" s="34" t="s">
        <v>47</v>
      </c>
      <c r="I49" s="34" t="s">
        <v>25</v>
      </c>
      <c r="J49" s="34" t="s">
        <v>24</v>
      </c>
      <c r="K49" s="34" t="s">
        <v>25</v>
      </c>
      <c r="L49" s="34" t="s">
        <v>24</v>
      </c>
      <c r="M49" s="34" t="s">
        <v>24</v>
      </c>
      <c r="N49" s="34" t="s">
        <v>24</v>
      </c>
      <c r="O49" s="34" t="s">
        <v>24</v>
      </c>
      <c r="P49" s="34" t="s">
        <v>24</v>
      </c>
      <c r="Q49" s="34" t="s">
        <v>24</v>
      </c>
      <c r="R49" s="34"/>
      <c r="S49" s="34"/>
      <c r="T49" s="34"/>
      <c r="U49" s="34" t="s">
        <v>1426</v>
      </c>
      <c r="V49" s="34"/>
      <c r="W49" s="34"/>
      <c r="X49" s="34" t="s">
        <v>24</v>
      </c>
    </row>
    <row r="50" spans="1:24" ht="143" x14ac:dyDescent="0.35">
      <c r="A50" s="33">
        <v>50</v>
      </c>
      <c r="B50" s="33" t="s">
        <v>101</v>
      </c>
      <c r="C50" s="46" t="s">
        <v>172</v>
      </c>
      <c r="D50" s="34" t="s">
        <v>39</v>
      </c>
      <c r="E50" s="34" t="s">
        <v>173</v>
      </c>
      <c r="F50" s="34"/>
      <c r="G50" s="34" t="s">
        <v>24</v>
      </c>
      <c r="H50" s="34" t="s">
        <v>47</v>
      </c>
      <c r="I50" s="34" t="s">
        <v>25</v>
      </c>
      <c r="J50" s="34" t="s">
        <v>24</v>
      </c>
      <c r="K50" s="34" t="s">
        <v>25</v>
      </c>
      <c r="L50" s="34" t="s">
        <v>24</v>
      </c>
      <c r="M50" s="34" t="s">
        <v>24</v>
      </c>
      <c r="N50" s="34" t="s">
        <v>24</v>
      </c>
      <c r="O50" s="34" t="s">
        <v>24</v>
      </c>
      <c r="P50" s="34" t="s">
        <v>24</v>
      </c>
      <c r="Q50" s="34" t="s">
        <v>24</v>
      </c>
      <c r="R50" s="34"/>
      <c r="S50" s="34"/>
      <c r="T50" s="34"/>
      <c r="U50" s="34" t="s">
        <v>1427</v>
      </c>
      <c r="V50" s="34"/>
      <c r="W50" s="34"/>
      <c r="X50" s="34" t="s">
        <v>24</v>
      </c>
    </row>
    <row r="51" spans="1:24" ht="169" x14ac:dyDescent="0.35">
      <c r="A51" s="33">
        <v>51</v>
      </c>
      <c r="B51" s="33" t="s">
        <v>101</v>
      </c>
      <c r="C51" s="46" t="s">
        <v>1227</v>
      </c>
      <c r="D51" s="34" t="s">
        <v>39</v>
      </c>
      <c r="E51" s="34" t="s">
        <v>176</v>
      </c>
      <c r="F51" s="34"/>
      <c r="G51" s="34" t="s">
        <v>24</v>
      </c>
      <c r="H51" s="34" t="s">
        <v>47</v>
      </c>
      <c r="I51" s="34" t="s">
        <v>25</v>
      </c>
      <c r="J51" s="34" t="s">
        <v>24</v>
      </c>
      <c r="K51" s="34" t="s">
        <v>25</v>
      </c>
      <c r="L51" s="34" t="s">
        <v>24</v>
      </c>
      <c r="M51" s="34" t="s">
        <v>24</v>
      </c>
      <c r="N51" s="34" t="s">
        <v>24</v>
      </c>
      <c r="O51" s="34" t="s">
        <v>24</v>
      </c>
      <c r="P51" s="34" t="s">
        <v>24</v>
      </c>
      <c r="Q51" s="34" t="s">
        <v>24</v>
      </c>
      <c r="R51" s="34"/>
      <c r="S51" s="34"/>
      <c r="T51" s="34"/>
      <c r="U51" s="34" t="s">
        <v>1428</v>
      </c>
      <c r="V51" s="34" t="s">
        <v>25</v>
      </c>
      <c r="W51" s="34"/>
      <c r="X51" s="34" t="s">
        <v>24</v>
      </c>
    </row>
    <row r="52" spans="1:24" ht="143" x14ac:dyDescent="0.35">
      <c r="A52" s="33">
        <v>52</v>
      </c>
      <c r="B52" s="33" t="s">
        <v>101</v>
      </c>
      <c r="C52" s="34" t="s">
        <v>1491</v>
      </c>
      <c r="D52" s="34" t="s">
        <v>39</v>
      </c>
      <c r="E52" s="34" t="s">
        <v>179</v>
      </c>
      <c r="F52" s="34"/>
      <c r="G52" s="34" t="s">
        <v>24</v>
      </c>
      <c r="H52" s="34" t="s">
        <v>8</v>
      </c>
      <c r="I52" s="34" t="s">
        <v>24</v>
      </c>
      <c r="J52" s="34" t="s">
        <v>24</v>
      </c>
      <c r="K52" s="34" t="s">
        <v>25</v>
      </c>
      <c r="L52" s="34" t="s">
        <v>24</v>
      </c>
      <c r="M52" s="34" t="s">
        <v>24</v>
      </c>
      <c r="N52" s="34" t="s">
        <v>24</v>
      </c>
      <c r="O52" s="34" t="s">
        <v>24</v>
      </c>
      <c r="P52" s="34" t="s">
        <v>24</v>
      </c>
      <c r="Q52" s="34" t="s">
        <v>24</v>
      </c>
      <c r="R52" s="34"/>
      <c r="S52" s="34"/>
      <c r="T52" s="34"/>
      <c r="U52" s="34" t="s">
        <v>1429</v>
      </c>
      <c r="V52" s="34"/>
      <c r="W52" s="34"/>
      <c r="X52" s="34"/>
    </row>
    <row r="53" spans="1:24" ht="234" x14ac:dyDescent="0.35">
      <c r="A53" s="33"/>
      <c r="B53" s="33" t="s">
        <v>101</v>
      </c>
      <c r="C53" s="34" t="s">
        <v>181</v>
      </c>
      <c r="D53" s="34" t="s">
        <v>45</v>
      </c>
      <c r="E53" s="47" t="s">
        <v>182</v>
      </c>
      <c r="F53" s="48" t="s">
        <v>1492</v>
      </c>
      <c r="G53" s="34" t="s">
        <v>24</v>
      </c>
      <c r="H53" s="34" t="s">
        <v>8</v>
      </c>
      <c r="I53" s="34" t="s">
        <v>24</v>
      </c>
      <c r="J53" s="34" t="s">
        <v>24</v>
      </c>
      <c r="K53" s="34" t="s">
        <v>25</v>
      </c>
      <c r="L53" s="34" t="s">
        <v>24</v>
      </c>
      <c r="M53" s="34" t="s">
        <v>24</v>
      </c>
      <c r="N53" s="34" t="s">
        <v>24</v>
      </c>
      <c r="O53" s="34" t="s">
        <v>24</v>
      </c>
      <c r="P53" s="34" t="s">
        <v>24</v>
      </c>
      <c r="Q53" s="34" t="s">
        <v>24</v>
      </c>
      <c r="R53" s="34"/>
      <c r="S53" s="34"/>
      <c r="T53" s="34"/>
      <c r="U53" s="34" t="s">
        <v>1430</v>
      </c>
      <c r="V53" s="34" t="s">
        <v>24</v>
      </c>
      <c r="W53" s="34"/>
      <c r="X53" s="34"/>
    </row>
    <row r="54" spans="1:24" ht="234" x14ac:dyDescent="0.35">
      <c r="A54" s="33">
        <v>53</v>
      </c>
      <c r="B54" s="33" t="s">
        <v>101</v>
      </c>
      <c r="C54" s="34" t="s">
        <v>184</v>
      </c>
      <c r="D54" s="33" t="s">
        <v>21</v>
      </c>
      <c r="E54" s="33" t="s">
        <v>185</v>
      </c>
      <c r="F54" s="33"/>
      <c r="G54" s="34" t="s">
        <v>24</v>
      </c>
      <c r="H54" s="34" t="s">
        <v>6</v>
      </c>
      <c r="I54" s="34" t="s">
        <v>25</v>
      </c>
      <c r="J54" s="34" t="s">
        <v>24</v>
      </c>
      <c r="K54" s="34" t="s">
        <v>24</v>
      </c>
      <c r="L54" s="34" t="s">
        <v>24</v>
      </c>
      <c r="M54" s="34" t="s">
        <v>24</v>
      </c>
      <c r="N54" s="34" t="s">
        <v>24</v>
      </c>
      <c r="O54" s="34" t="s">
        <v>24</v>
      </c>
      <c r="P54" s="34" t="s">
        <v>24</v>
      </c>
      <c r="Q54" s="34" t="s">
        <v>24</v>
      </c>
      <c r="R54" s="33"/>
      <c r="S54" s="33"/>
      <c r="T54" s="33"/>
      <c r="U54" s="90" t="s">
        <v>1493</v>
      </c>
      <c r="V54" s="34" t="s">
        <v>25</v>
      </c>
      <c r="W54" s="34" t="s">
        <v>1158</v>
      </c>
      <c r="X54" s="34" t="s">
        <v>24</v>
      </c>
    </row>
    <row r="55" spans="1:24" ht="26" x14ac:dyDescent="0.35">
      <c r="A55" s="33">
        <v>54</v>
      </c>
      <c r="B55" s="33" t="s">
        <v>101</v>
      </c>
      <c r="C55" s="34" t="s">
        <v>187</v>
      </c>
      <c r="D55" s="33" t="s">
        <v>45</v>
      </c>
      <c r="E55" s="33" t="s">
        <v>69</v>
      </c>
      <c r="F55" s="33"/>
      <c r="G55" s="34" t="s">
        <v>24</v>
      </c>
      <c r="H55" s="34" t="s">
        <v>14</v>
      </c>
      <c r="I55" s="33"/>
      <c r="J55" s="33"/>
      <c r="K55" s="33"/>
      <c r="L55" s="33"/>
      <c r="M55" s="33"/>
      <c r="N55" s="33"/>
      <c r="O55" s="33"/>
      <c r="P55" s="33"/>
      <c r="Q55" s="33" t="s">
        <v>25</v>
      </c>
      <c r="R55" s="33"/>
      <c r="S55" s="33"/>
      <c r="T55" s="33"/>
      <c r="U55" s="33" t="s">
        <v>1432</v>
      </c>
      <c r="V55" s="34"/>
      <c r="W55" s="34"/>
      <c r="X55" s="34"/>
    </row>
    <row r="56" spans="1:24" ht="143" x14ac:dyDescent="0.35">
      <c r="A56" s="33">
        <v>55</v>
      </c>
      <c r="B56" s="33" t="s">
        <v>101</v>
      </c>
      <c r="C56" s="34" t="s">
        <v>189</v>
      </c>
      <c r="D56" s="33" t="s">
        <v>39</v>
      </c>
      <c r="E56" s="33" t="s">
        <v>190</v>
      </c>
      <c r="F56" s="33"/>
      <c r="G56" s="34" t="s">
        <v>24</v>
      </c>
      <c r="H56" s="34" t="s">
        <v>14</v>
      </c>
      <c r="I56" s="33"/>
      <c r="J56" s="33"/>
      <c r="K56" s="33"/>
      <c r="L56" s="33"/>
      <c r="M56" s="33"/>
      <c r="N56" s="33"/>
      <c r="O56" s="33"/>
      <c r="P56" s="33"/>
      <c r="Q56" s="33" t="s">
        <v>25</v>
      </c>
      <c r="R56" s="33"/>
      <c r="S56" s="33"/>
      <c r="T56" s="33"/>
      <c r="U56" s="33" t="s">
        <v>1433</v>
      </c>
      <c r="V56" s="34"/>
      <c r="W56" s="34"/>
      <c r="X56" s="34"/>
    </row>
    <row r="57" spans="1:24" ht="39" x14ac:dyDescent="0.35">
      <c r="A57" s="33">
        <v>56</v>
      </c>
      <c r="B57" s="33" t="s">
        <v>101</v>
      </c>
      <c r="C57" s="34" t="s">
        <v>192</v>
      </c>
      <c r="D57" s="33" t="s">
        <v>21</v>
      </c>
      <c r="E57" s="33" t="s">
        <v>193</v>
      </c>
      <c r="F57" s="33"/>
      <c r="G57" s="34" t="s">
        <v>24</v>
      </c>
      <c r="H57" s="34" t="s">
        <v>14</v>
      </c>
      <c r="I57" s="33"/>
      <c r="J57" s="33"/>
      <c r="K57" s="33"/>
      <c r="L57" s="33"/>
      <c r="M57" s="33"/>
      <c r="N57" s="33"/>
      <c r="O57" s="33"/>
      <c r="P57" s="33"/>
      <c r="Q57" s="33" t="s">
        <v>25</v>
      </c>
      <c r="R57" s="33"/>
      <c r="S57" s="33"/>
      <c r="T57" s="33"/>
      <c r="U57" s="33" t="s">
        <v>1434</v>
      </c>
      <c r="V57" s="34"/>
      <c r="W57" s="34"/>
      <c r="X57" s="34"/>
    </row>
    <row r="58" spans="1:24" ht="26" x14ac:dyDescent="0.35">
      <c r="A58" s="33">
        <v>57</v>
      </c>
      <c r="B58" s="33" t="s">
        <v>101</v>
      </c>
      <c r="C58" s="34" t="s">
        <v>195</v>
      </c>
      <c r="D58" s="33" t="s">
        <v>21</v>
      </c>
      <c r="E58" s="33" t="s">
        <v>196</v>
      </c>
      <c r="F58" s="33"/>
      <c r="G58" s="34" t="s">
        <v>24</v>
      </c>
      <c r="H58" s="34" t="s">
        <v>14</v>
      </c>
      <c r="I58" s="33"/>
      <c r="J58" s="33"/>
      <c r="K58" s="33"/>
      <c r="L58" s="33"/>
      <c r="M58" s="33"/>
      <c r="N58" s="33"/>
      <c r="O58" s="33"/>
      <c r="P58" s="33"/>
      <c r="Q58" s="33" t="s">
        <v>25</v>
      </c>
      <c r="R58" s="33"/>
      <c r="S58" s="33"/>
      <c r="T58" s="33"/>
      <c r="U58" s="33" t="s">
        <v>1435</v>
      </c>
      <c r="V58" s="34"/>
      <c r="W58" s="34"/>
      <c r="X58" s="34"/>
    </row>
    <row r="59" spans="1:24" ht="208" x14ac:dyDescent="0.35">
      <c r="A59" s="33">
        <v>58</v>
      </c>
      <c r="B59" s="33" t="s">
        <v>101</v>
      </c>
      <c r="C59" s="34" t="s">
        <v>198</v>
      </c>
      <c r="D59" s="33" t="s">
        <v>21</v>
      </c>
      <c r="E59" s="34" t="s">
        <v>199</v>
      </c>
      <c r="F59" s="34"/>
      <c r="G59" s="34" t="s">
        <v>24</v>
      </c>
      <c r="H59" s="34" t="s">
        <v>8</v>
      </c>
      <c r="I59" s="33" t="s">
        <v>24</v>
      </c>
      <c r="J59" s="33" t="s">
        <v>24</v>
      </c>
      <c r="K59" s="33" t="s">
        <v>25</v>
      </c>
      <c r="L59" s="33" t="s">
        <v>24</v>
      </c>
      <c r="M59" s="33" t="s">
        <v>24</v>
      </c>
      <c r="N59" s="33" t="s">
        <v>24</v>
      </c>
      <c r="O59" s="33" t="s">
        <v>24</v>
      </c>
      <c r="P59" s="33" t="s">
        <v>24</v>
      </c>
      <c r="Q59" s="33" t="s">
        <v>24</v>
      </c>
      <c r="R59" s="33"/>
      <c r="S59" s="33"/>
      <c r="T59" s="33"/>
      <c r="U59" s="33" t="s">
        <v>1436</v>
      </c>
      <c r="V59" s="34"/>
      <c r="W59" s="34"/>
      <c r="X59" s="34"/>
    </row>
    <row r="60" spans="1:24" ht="299" x14ac:dyDescent="0.35">
      <c r="A60" s="33">
        <v>59</v>
      </c>
      <c r="B60" s="34" t="s">
        <v>101</v>
      </c>
      <c r="C60" s="34" t="s">
        <v>201</v>
      </c>
      <c r="D60" s="34" t="s">
        <v>21</v>
      </c>
      <c r="E60" s="34" t="s">
        <v>202</v>
      </c>
      <c r="F60" s="34" t="s">
        <v>1494</v>
      </c>
      <c r="G60" s="34" t="s">
        <v>24</v>
      </c>
      <c r="H60" s="34" t="s">
        <v>47</v>
      </c>
      <c r="I60" s="34" t="s">
        <v>25</v>
      </c>
      <c r="J60" s="34" t="s">
        <v>24</v>
      </c>
      <c r="K60" s="34" t="s">
        <v>25</v>
      </c>
      <c r="L60" s="34" t="s">
        <v>24</v>
      </c>
      <c r="M60" s="34" t="s">
        <v>24</v>
      </c>
      <c r="N60" s="34" t="s">
        <v>24</v>
      </c>
      <c r="O60" s="34" t="s">
        <v>24</v>
      </c>
      <c r="P60" s="34" t="s">
        <v>24</v>
      </c>
      <c r="Q60" s="34" t="s">
        <v>24</v>
      </c>
      <c r="R60" s="34" t="s">
        <v>24</v>
      </c>
      <c r="S60" s="34"/>
      <c r="T60" s="34"/>
      <c r="U60" s="34" t="s">
        <v>203</v>
      </c>
      <c r="V60" s="34"/>
      <c r="W60" s="34"/>
      <c r="X60" s="34"/>
    </row>
    <row r="61" spans="1:24" ht="364" x14ac:dyDescent="0.35">
      <c r="A61" s="33">
        <v>60</v>
      </c>
      <c r="B61" s="34" t="s">
        <v>101</v>
      </c>
      <c r="C61" s="34" t="s">
        <v>204</v>
      </c>
      <c r="D61" s="34" t="s">
        <v>21</v>
      </c>
      <c r="E61" s="34" t="s">
        <v>205</v>
      </c>
      <c r="F61" s="34" t="s">
        <v>1495</v>
      </c>
      <c r="G61" s="34" t="s">
        <v>24</v>
      </c>
      <c r="H61" s="34" t="s">
        <v>47</v>
      </c>
      <c r="I61" s="34" t="s">
        <v>25</v>
      </c>
      <c r="J61" s="34" t="s">
        <v>24</v>
      </c>
      <c r="K61" s="34" t="s">
        <v>25</v>
      </c>
      <c r="L61" s="34" t="s">
        <v>24</v>
      </c>
      <c r="M61" s="34" t="s">
        <v>24</v>
      </c>
      <c r="N61" s="34" t="s">
        <v>24</v>
      </c>
      <c r="O61" s="34" t="s">
        <v>24</v>
      </c>
      <c r="P61" s="34" t="s">
        <v>24</v>
      </c>
      <c r="Q61" s="34" t="s">
        <v>24</v>
      </c>
      <c r="R61" s="34" t="s">
        <v>24</v>
      </c>
      <c r="S61" s="34"/>
      <c r="T61" s="34"/>
      <c r="U61" s="34" t="s">
        <v>206</v>
      </c>
      <c r="V61" s="34"/>
      <c r="W61" s="34"/>
      <c r="X61" s="34"/>
    </row>
    <row r="62" spans="1:24" ht="234" x14ac:dyDescent="0.35">
      <c r="A62" s="33">
        <v>61</v>
      </c>
      <c r="B62" s="34" t="s">
        <v>101</v>
      </c>
      <c r="C62" s="34" t="s">
        <v>207</v>
      </c>
      <c r="D62" s="34" t="s">
        <v>21</v>
      </c>
      <c r="E62" s="34" t="s">
        <v>208</v>
      </c>
      <c r="F62" s="34" t="s">
        <v>1496</v>
      </c>
      <c r="G62" s="34" t="s">
        <v>24</v>
      </c>
      <c r="H62" s="34" t="s">
        <v>47</v>
      </c>
      <c r="I62" s="34" t="s">
        <v>25</v>
      </c>
      <c r="J62" s="34" t="s">
        <v>24</v>
      </c>
      <c r="K62" s="34" t="s">
        <v>25</v>
      </c>
      <c r="L62" s="34" t="s">
        <v>24</v>
      </c>
      <c r="M62" s="34" t="s">
        <v>24</v>
      </c>
      <c r="N62" s="34" t="s">
        <v>24</v>
      </c>
      <c r="O62" s="34" t="s">
        <v>24</v>
      </c>
      <c r="P62" s="34" t="s">
        <v>24</v>
      </c>
      <c r="Q62" s="34" t="s">
        <v>24</v>
      </c>
      <c r="R62" s="34" t="s">
        <v>24</v>
      </c>
      <c r="S62" s="34"/>
      <c r="T62" s="34"/>
      <c r="U62" s="34" t="s">
        <v>1252</v>
      </c>
      <c r="V62" s="34"/>
      <c r="W62" s="34"/>
      <c r="X62" s="34"/>
    </row>
    <row r="63" spans="1:24" ht="286" x14ac:dyDescent="0.35">
      <c r="A63" s="33">
        <v>62</v>
      </c>
      <c r="B63" s="34" t="s">
        <v>101</v>
      </c>
      <c r="C63" s="34" t="s">
        <v>210</v>
      </c>
      <c r="D63" s="34" t="s">
        <v>21</v>
      </c>
      <c r="E63" s="34" t="s">
        <v>211</v>
      </c>
      <c r="F63" s="34" t="s">
        <v>1497</v>
      </c>
      <c r="G63" s="34" t="s">
        <v>24</v>
      </c>
      <c r="H63" s="34" t="s">
        <v>47</v>
      </c>
      <c r="I63" s="34" t="s">
        <v>25</v>
      </c>
      <c r="J63" s="34" t="s">
        <v>24</v>
      </c>
      <c r="K63" s="34" t="s">
        <v>25</v>
      </c>
      <c r="L63" s="34" t="s">
        <v>24</v>
      </c>
      <c r="M63" s="34" t="s">
        <v>24</v>
      </c>
      <c r="N63" s="34" t="s">
        <v>24</v>
      </c>
      <c r="O63" s="34" t="s">
        <v>24</v>
      </c>
      <c r="P63" s="34" t="s">
        <v>24</v>
      </c>
      <c r="Q63" s="34" t="s">
        <v>24</v>
      </c>
      <c r="R63" s="34" t="s">
        <v>24</v>
      </c>
      <c r="S63" s="34"/>
      <c r="T63" s="34"/>
      <c r="U63" s="34" t="s">
        <v>212</v>
      </c>
      <c r="V63" s="34"/>
      <c r="W63" s="34"/>
      <c r="X63" s="34"/>
    </row>
    <row r="64" spans="1:24" ht="52" x14ac:dyDescent="0.35">
      <c r="A64" s="33">
        <v>63</v>
      </c>
      <c r="B64" s="34" t="s">
        <v>101</v>
      </c>
      <c r="C64" s="34" t="s">
        <v>213</v>
      </c>
      <c r="D64" s="34" t="s">
        <v>45</v>
      </c>
      <c r="E64" s="34" t="s">
        <v>214</v>
      </c>
      <c r="F64" s="34"/>
      <c r="G64" s="34"/>
      <c r="H64" s="34" t="s">
        <v>8</v>
      </c>
      <c r="I64" s="34"/>
      <c r="J64" s="34"/>
      <c r="K64" s="34" t="s">
        <v>25</v>
      </c>
      <c r="L64" s="34"/>
      <c r="M64" s="34"/>
      <c r="N64" s="34"/>
      <c r="O64" s="34"/>
      <c r="P64" s="34"/>
      <c r="Q64" s="34"/>
      <c r="R64" s="34"/>
      <c r="S64" s="34"/>
      <c r="T64" s="34"/>
      <c r="U64" s="34" t="s">
        <v>1274</v>
      </c>
      <c r="V64" s="34"/>
      <c r="W64" s="34"/>
      <c r="X64" s="34"/>
    </row>
    <row r="65" spans="1:24" ht="221" x14ac:dyDescent="0.35">
      <c r="A65" s="33">
        <v>64</v>
      </c>
      <c r="B65" s="33" t="s">
        <v>216</v>
      </c>
      <c r="C65" s="34" t="s">
        <v>217</v>
      </c>
      <c r="D65" s="34" t="s">
        <v>21</v>
      </c>
      <c r="E65" s="34" t="s">
        <v>218</v>
      </c>
      <c r="F65" s="34"/>
      <c r="G65" s="34" t="s">
        <v>24</v>
      </c>
      <c r="H65" s="34" t="s">
        <v>219</v>
      </c>
      <c r="I65" s="33" t="s">
        <v>25</v>
      </c>
      <c r="J65" s="33" t="s">
        <v>24</v>
      </c>
      <c r="K65" s="33" t="s">
        <v>25</v>
      </c>
      <c r="L65" s="33" t="s">
        <v>24</v>
      </c>
      <c r="M65" s="33" t="s">
        <v>24</v>
      </c>
      <c r="N65" s="33" t="s">
        <v>24</v>
      </c>
      <c r="O65" s="33" t="s">
        <v>24</v>
      </c>
      <c r="P65" s="33" t="s">
        <v>24</v>
      </c>
      <c r="Q65" s="33" t="s">
        <v>24</v>
      </c>
      <c r="R65" s="33" t="s">
        <v>25</v>
      </c>
      <c r="S65" s="33"/>
      <c r="T65" s="33"/>
      <c r="U65" s="33" t="s">
        <v>220</v>
      </c>
      <c r="V65" s="34"/>
      <c r="W65" s="34"/>
      <c r="X65" s="34" t="s">
        <v>25</v>
      </c>
    </row>
    <row r="66" spans="1:24" ht="91" x14ac:dyDescent="0.35">
      <c r="A66" s="33">
        <v>65</v>
      </c>
      <c r="B66" s="33" t="s">
        <v>216</v>
      </c>
      <c r="C66" s="34" t="s">
        <v>221</v>
      </c>
      <c r="D66" s="34" t="s">
        <v>21</v>
      </c>
      <c r="E66" s="34" t="s">
        <v>222</v>
      </c>
      <c r="F66" s="50" t="s">
        <v>1498</v>
      </c>
      <c r="G66" s="34" t="s">
        <v>24</v>
      </c>
      <c r="H66" s="34" t="s">
        <v>223</v>
      </c>
      <c r="I66" s="33" t="s">
        <v>25</v>
      </c>
      <c r="J66" s="33" t="s">
        <v>24</v>
      </c>
      <c r="K66" s="33" t="s">
        <v>24</v>
      </c>
      <c r="L66" s="33" t="s">
        <v>24</v>
      </c>
      <c r="M66" s="33" t="s">
        <v>24</v>
      </c>
      <c r="N66" s="33" t="s">
        <v>24</v>
      </c>
      <c r="O66" s="33" t="s">
        <v>24</v>
      </c>
      <c r="P66" s="33" t="s">
        <v>24</v>
      </c>
      <c r="Q66" s="33" t="s">
        <v>24</v>
      </c>
      <c r="R66" s="33" t="s">
        <v>25</v>
      </c>
      <c r="S66" s="33"/>
      <c r="T66" s="33"/>
      <c r="U66" s="33" t="s">
        <v>224</v>
      </c>
      <c r="V66" s="34"/>
      <c r="W66" s="34"/>
      <c r="X66" s="34" t="s">
        <v>25</v>
      </c>
    </row>
    <row r="67" spans="1:24" ht="52" x14ac:dyDescent="0.35">
      <c r="A67" s="33">
        <v>66</v>
      </c>
      <c r="B67" s="33" t="s">
        <v>216</v>
      </c>
      <c r="C67" s="34" t="s">
        <v>225</v>
      </c>
      <c r="D67" s="34" t="s">
        <v>21</v>
      </c>
      <c r="E67" s="33" t="s">
        <v>226</v>
      </c>
      <c r="F67" s="33"/>
      <c r="G67" s="34" t="s">
        <v>24</v>
      </c>
      <c r="H67" s="34" t="s">
        <v>219</v>
      </c>
      <c r="I67" s="33" t="s">
        <v>25</v>
      </c>
      <c r="J67" s="33" t="s">
        <v>24</v>
      </c>
      <c r="K67" s="33" t="s">
        <v>25</v>
      </c>
      <c r="L67" s="33" t="s">
        <v>24</v>
      </c>
      <c r="M67" s="33" t="s">
        <v>24</v>
      </c>
      <c r="N67" s="33" t="s">
        <v>24</v>
      </c>
      <c r="O67" s="33" t="s">
        <v>24</v>
      </c>
      <c r="P67" s="33" t="s">
        <v>24</v>
      </c>
      <c r="Q67" s="33" t="s">
        <v>24</v>
      </c>
      <c r="R67" s="33" t="s">
        <v>25</v>
      </c>
      <c r="S67" s="33"/>
      <c r="T67" s="33"/>
      <c r="U67" s="33" t="s">
        <v>227</v>
      </c>
      <c r="V67" s="34"/>
      <c r="W67" s="34"/>
      <c r="X67" s="34" t="s">
        <v>24</v>
      </c>
    </row>
    <row r="68" spans="1:24" ht="221" x14ac:dyDescent="0.35">
      <c r="A68" s="33">
        <v>67</v>
      </c>
      <c r="B68" s="34" t="s">
        <v>228</v>
      </c>
      <c r="C68" s="34" t="s">
        <v>229</v>
      </c>
      <c r="D68" s="34" t="s">
        <v>21</v>
      </c>
      <c r="E68" s="34" t="s">
        <v>230</v>
      </c>
      <c r="F68" s="34"/>
      <c r="G68" s="34" t="s">
        <v>24</v>
      </c>
      <c r="H68" s="51" t="s">
        <v>84</v>
      </c>
      <c r="I68" s="34"/>
      <c r="J68" s="34"/>
      <c r="K68" s="34"/>
      <c r="L68" s="34"/>
      <c r="M68" s="34"/>
      <c r="N68" s="34"/>
      <c r="O68" s="34"/>
      <c r="P68" s="34"/>
      <c r="Q68" s="34"/>
      <c r="R68" s="34"/>
      <c r="S68" s="34"/>
      <c r="T68" s="34"/>
      <c r="U68" s="34" t="s">
        <v>231</v>
      </c>
      <c r="V68" s="34"/>
      <c r="W68" s="34" t="s">
        <v>1158</v>
      </c>
      <c r="X68" s="34"/>
    </row>
    <row r="69" spans="1:24" ht="39" x14ac:dyDescent="0.35">
      <c r="A69" s="33">
        <v>68</v>
      </c>
      <c r="B69" s="49" t="s">
        <v>228</v>
      </c>
      <c r="C69" s="49" t="s">
        <v>232</v>
      </c>
      <c r="D69" s="49" t="s">
        <v>21</v>
      </c>
      <c r="E69" s="49" t="s">
        <v>233</v>
      </c>
      <c r="F69" s="49"/>
      <c r="G69" s="49"/>
      <c r="H69" s="49" t="s">
        <v>234</v>
      </c>
      <c r="I69" s="49" t="s">
        <v>25</v>
      </c>
      <c r="J69" s="49" t="s">
        <v>24</v>
      </c>
      <c r="K69" s="49" t="s">
        <v>25</v>
      </c>
      <c r="L69" s="49" t="s">
        <v>24</v>
      </c>
      <c r="M69" s="49" t="s">
        <v>24</v>
      </c>
      <c r="N69" s="49" t="s">
        <v>24</v>
      </c>
      <c r="O69" s="49" t="s">
        <v>24</v>
      </c>
      <c r="P69" s="49" t="s">
        <v>24</v>
      </c>
      <c r="Q69" s="49" t="s">
        <v>24</v>
      </c>
      <c r="R69" s="49" t="s">
        <v>235</v>
      </c>
      <c r="S69" s="49"/>
      <c r="T69" s="49"/>
      <c r="U69" s="49" t="s">
        <v>236</v>
      </c>
      <c r="V69" s="49"/>
      <c r="W69" s="49"/>
      <c r="X69" s="49" t="s">
        <v>235</v>
      </c>
    </row>
    <row r="70" spans="1:24" ht="65" x14ac:dyDescent="0.35">
      <c r="A70" s="33">
        <v>69</v>
      </c>
      <c r="B70" s="49" t="s">
        <v>228</v>
      </c>
      <c r="C70" s="49" t="s">
        <v>237</v>
      </c>
      <c r="D70" s="49" t="s">
        <v>21</v>
      </c>
      <c r="E70" s="49" t="s">
        <v>238</v>
      </c>
      <c r="F70" s="49"/>
      <c r="G70" s="49"/>
      <c r="H70" s="49" t="s">
        <v>234</v>
      </c>
      <c r="I70" s="49" t="s">
        <v>25</v>
      </c>
      <c r="J70" s="49" t="s">
        <v>24</v>
      </c>
      <c r="K70" s="49" t="s">
        <v>25</v>
      </c>
      <c r="L70" s="49" t="s">
        <v>24</v>
      </c>
      <c r="M70" s="49" t="s">
        <v>24</v>
      </c>
      <c r="N70" s="49" t="s">
        <v>24</v>
      </c>
      <c r="O70" s="49" t="s">
        <v>24</v>
      </c>
      <c r="P70" s="49" t="s">
        <v>24</v>
      </c>
      <c r="Q70" s="49" t="s">
        <v>24</v>
      </c>
      <c r="R70" s="49" t="s">
        <v>235</v>
      </c>
      <c r="S70" s="49"/>
      <c r="T70" s="49"/>
      <c r="U70" s="49" t="s">
        <v>1459</v>
      </c>
      <c r="V70" s="49"/>
      <c r="W70" s="49"/>
      <c r="X70" s="49" t="s">
        <v>235</v>
      </c>
    </row>
    <row r="71" spans="1:24" ht="52" x14ac:dyDescent="0.35">
      <c r="A71" s="33">
        <v>70</v>
      </c>
      <c r="B71" s="49" t="s">
        <v>228</v>
      </c>
      <c r="C71" s="49" t="s">
        <v>240</v>
      </c>
      <c r="D71" s="49" t="s">
        <v>21</v>
      </c>
      <c r="E71" s="49" t="s">
        <v>241</v>
      </c>
      <c r="F71" s="49"/>
      <c r="G71" s="49"/>
      <c r="H71" s="49" t="s">
        <v>234</v>
      </c>
      <c r="I71" s="49" t="s">
        <v>25</v>
      </c>
      <c r="J71" s="49" t="s">
        <v>24</v>
      </c>
      <c r="K71" s="49" t="s">
        <v>25</v>
      </c>
      <c r="L71" s="49" t="s">
        <v>24</v>
      </c>
      <c r="M71" s="49" t="s">
        <v>24</v>
      </c>
      <c r="N71" s="49" t="s">
        <v>24</v>
      </c>
      <c r="O71" s="49" t="s">
        <v>24</v>
      </c>
      <c r="P71" s="49" t="s">
        <v>24</v>
      </c>
      <c r="Q71" s="49" t="s">
        <v>24</v>
      </c>
      <c r="R71" s="49" t="s">
        <v>235</v>
      </c>
      <c r="S71" s="49"/>
      <c r="T71" s="49"/>
      <c r="U71" s="49" t="s">
        <v>1460</v>
      </c>
      <c r="V71" s="49"/>
      <c r="W71" s="49"/>
      <c r="X71" s="49" t="s">
        <v>235</v>
      </c>
    </row>
    <row r="72" spans="1:24" ht="65" x14ac:dyDescent="0.35">
      <c r="A72" s="33">
        <v>71</v>
      </c>
      <c r="B72" s="49" t="s">
        <v>243</v>
      </c>
      <c r="C72" s="49" t="s">
        <v>244</v>
      </c>
      <c r="D72" s="49" t="s">
        <v>21</v>
      </c>
      <c r="E72" s="49" t="s">
        <v>245</v>
      </c>
      <c r="F72" s="49"/>
      <c r="G72" s="49"/>
      <c r="H72" s="49" t="s">
        <v>234</v>
      </c>
      <c r="I72" s="49" t="s">
        <v>25</v>
      </c>
      <c r="J72" s="49" t="s">
        <v>24</v>
      </c>
      <c r="K72" s="49" t="s">
        <v>25</v>
      </c>
      <c r="L72" s="49" t="s">
        <v>24</v>
      </c>
      <c r="M72" s="49" t="s">
        <v>24</v>
      </c>
      <c r="N72" s="49" t="s">
        <v>24</v>
      </c>
      <c r="O72" s="49" t="s">
        <v>24</v>
      </c>
      <c r="P72" s="49" t="s">
        <v>24</v>
      </c>
      <c r="Q72" s="49" t="s">
        <v>24</v>
      </c>
      <c r="R72" s="49" t="s">
        <v>235</v>
      </c>
      <c r="S72" s="49"/>
      <c r="T72" s="49"/>
      <c r="U72" s="49" t="s">
        <v>1463</v>
      </c>
      <c r="V72" s="49"/>
      <c r="W72" s="49"/>
      <c r="X72" s="49" t="s">
        <v>235</v>
      </c>
    </row>
    <row r="73" spans="1:24" ht="52" x14ac:dyDescent="0.35">
      <c r="A73" s="33">
        <v>72</v>
      </c>
      <c r="B73" s="49" t="s">
        <v>243</v>
      </c>
      <c r="C73" s="49" t="s">
        <v>1300</v>
      </c>
      <c r="D73" s="49" t="s">
        <v>21</v>
      </c>
      <c r="E73" s="49" t="s">
        <v>248</v>
      </c>
      <c r="F73" s="49"/>
      <c r="G73" s="49"/>
      <c r="H73" s="49" t="s">
        <v>234</v>
      </c>
      <c r="I73" s="49" t="s">
        <v>25</v>
      </c>
      <c r="J73" s="49" t="s">
        <v>24</v>
      </c>
      <c r="K73" s="49" t="s">
        <v>25</v>
      </c>
      <c r="L73" s="49" t="s">
        <v>24</v>
      </c>
      <c r="M73" s="49" t="s">
        <v>24</v>
      </c>
      <c r="N73" s="49" t="s">
        <v>24</v>
      </c>
      <c r="O73" s="49" t="s">
        <v>24</v>
      </c>
      <c r="P73" s="49" t="s">
        <v>24</v>
      </c>
      <c r="Q73" s="49" t="s">
        <v>24</v>
      </c>
      <c r="R73" s="49" t="s">
        <v>235</v>
      </c>
      <c r="S73" s="49"/>
      <c r="T73" s="49"/>
      <c r="U73" s="49" t="s">
        <v>1464</v>
      </c>
      <c r="V73" s="49"/>
      <c r="W73" s="49"/>
      <c r="X73" s="49" t="s">
        <v>235</v>
      </c>
    </row>
    <row r="74" spans="1:24" ht="91" x14ac:dyDescent="0.35">
      <c r="A74" s="33">
        <v>73</v>
      </c>
      <c r="B74" s="49" t="s">
        <v>250</v>
      </c>
      <c r="C74" s="49" t="s">
        <v>251</v>
      </c>
      <c r="D74" s="49" t="s">
        <v>21</v>
      </c>
      <c r="E74" s="49" t="s">
        <v>252</v>
      </c>
      <c r="F74" s="49"/>
      <c r="G74" s="49"/>
      <c r="H74" s="49" t="s">
        <v>234</v>
      </c>
      <c r="I74" s="49" t="s">
        <v>25</v>
      </c>
      <c r="J74" s="49" t="s">
        <v>24</v>
      </c>
      <c r="K74" s="49" t="s">
        <v>25</v>
      </c>
      <c r="L74" s="49" t="s">
        <v>24</v>
      </c>
      <c r="M74" s="49" t="s">
        <v>24</v>
      </c>
      <c r="N74" s="49" t="s">
        <v>24</v>
      </c>
      <c r="O74" s="49" t="s">
        <v>24</v>
      </c>
      <c r="P74" s="49" t="s">
        <v>24</v>
      </c>
      <c r="Q74" s="49" t="s">
        <v>24</v>
      </c>
      <c r="R74" s="49" t="s">
        <v>235</v>
      </c>
      <c r="S74" s="49"/>
      <c r="T74" s="49"/>
      <c r="U74" s="49" t="s">
        <v>1461</v>
      </c>
      <c r="V74" s="49"/>
      <c r="W74" s="49"/>
      <c r="X74" s="49" t="s">
        <v>235</v>
      </c>
    </row>
    <row r="75" spans="1:24" ht="104" x14ac:dyDescent="0.35">
      <c r="A75" s="33">
        <v>74</v>
      </c>
      <c r="B75" s="49" t="s">
        <v>250</v>
      </c>
      <c r="C75" s="49" t="s">
        <v>254</v>
      </c>
      <c r="D75" s="49" t="s">
        <v>21</v>
      </c>
      <c r="E75" s="49" t="s">
        <v>255</v>
      </c>
      <c r="F75" s="49"/>
      <c r="G75" s="49"/>
      <c r="H75" s="49" t="s">
        <v>234</v>
      </c>
      <c r="I75" s="49" t="s">
        <v>25</v>
      </c>
      <c r="J75" s="49" t="s">
        <v>24</v>
      </c>
      <c r="K75" s="49" t="s">
        <v>25</v>
      </c>
      <c r="L75" s="49" t="s">
        <v>24</v>
      </c>
      <c r="M75" s="49" t="s">
        <v>24</v>
      </c>
      <c r="N75" s="49" t="s">
        <v>24</v>
      </c>
      <c r="O75" s="49" t="s">
        <v>24</v>
      </c>
      <c r="P75" s="49" t="s">
        <v>24</v>
      </c>
      <c r="Q75" s="49" t="s">
        <v>24</v>
      </c>
      <c r="R75" s="49" t="s">
        <v>235</v>
      </c>
      <c r="S75" s="49"/>
      <c r="T75" s="49"/>
      <c r="U75" s="49" t="s">
        <v>1462</v>
      </c>
      <c r="V75" s="49"/>
      <c r="W75" s="49"/>
      <c r="X75" s="49" t="s">
        <v>235</v>
      </c>
    </row>
    <row r="76" spans="1:24" s="36" customFormat="1" ht="78" x14ac:dyDescent="0.35">
      <c r="A76" s="37"/>
      <c r="B76" s="37" t="s">
        <v>257</v>
      </c>
      <c r="C76" s="38" t="s">
        <v>258</v>
      </c>
      <c r="D76" s="37" t="s">
        <v>45</v>
      </c>
      <c r="E76" s="37" t="s">
        <v>259</v>
      </c>
      <c r="F76" s="37"/>
      <c r="G76" s="38" t="s">
        <v>24</v>
      </c>
      <c r="H76" s="38" t="s">
        <v>260</v>
      </c>
      <c r="I76" s="37" t="s">
        <v>25</v>
      </c>
      <c r="J76" s="37" t="s">
        <v>25</v>
      </c>
      <c r="K76" s="37" t="s">
        <v>24</v>
      </c>
      <c r="L76" s="37" t="s">
        <v>24</v>
      </c>
      <c r="M76" s="37" t="s">
        <v>24</v>
      </c>
      <c r="N76" s="37" t="s">
        <v>24</v>
      </c>
      <c r="O76" s="37" t="s">
        <v>24</v>
      </c>
      <c r="P76" s="37" t="s">
        <v>24</v>
      </c>
      <c r="Q76" s="37" t="s">
        <v>24</v>
      </c>
      <c r="R76" s="37"/>
      <c r="S76" s="37"/>
      <c r="T76" s="37"/>
      <c r="U76" s="37" t="s">
        <v>1482</v>
      </c>
      <c r="V76" s="38"/>
      <c r="W76" s="38" t="s">
        <v>1158</v>
      </c>
      <c r="X76" s="39" t="s">
        <v>25</v>
      </c>
    </row>
    <row r="77" spans="1:24" s="36" customFormat="1" ht="78" x14ac:dyDescent="0.35">
      <c r="A77" s="37"/>
      <c r="B77" s="37" t="s">
        <v>257</v>
      </c>
      <c r="C77" s="38" t="s">
        <v>262</v>
      </c>
      <c r="D77" s="37" t="s">
        <v>45</v>
      </c>
      <c r="E77" s="37" t="s">
        <v>263</v>
      </c>
      <c r="F77" s="37"/>
      <c r="G77" s="38" t="s">
        <v>24</v>
      </c>
      <c r="H77" s="38" t="s">
        <v>260</v>
      </c>
      <c r="I77" s="37" t="s">
        <v>25</v>
      </c>
      <c r="J77" s="37" t="s">
        <v>25</v>
      </c>
      <c r="K77" s="37" t="s">
        <v>24</v>
      </c>
      <c r="L77" s="37" t="s">
        <v>24</v>
      </c>
      <c r="M77" s="37" t="s">
        <v>24</v>
      </c>
      <c r="N77" s="37" t="s">
        <v>24</v>
      </c>
      <c r="O77" s="37" t="s">
        <v>24</v>
      </c>
      <c r="P77" s="37" t="s">
        <v>24</v>
      </c>
      <c r="Q77" s="37" t="s">
        <v>24</v>
      </c>
      <c r="R77" s="37"/>
      <c r="S77" s="37"/>
      <c r="T77" s="37"/>
      <c r="U77" s="37" t="s">
        <v>1483</v>
      </c>
      <c r="V77" s="38"/>
      <c r="W77" s="38" t="s">
        <v>1158</v>
      </c>
      <c r="X77" s="39" t="s">
        <v>25</v>
      </c>
    </row>
    <row r="78" spans="1:24" s="36" customFormat="1" ht="52" x14ac:dyDescent="0.35">
      <c r="A78" s="37"/>
      <c r="B78" s="37" t="s">
        <v>257</v>
      </c>
      <c r="C78" s="38" t="s">
        <v>265</v>
      </c>
      <c r="D78" s="37" t="s">
        <v>45</v>
      </c>
      <c r="E78" s="38" t="s">
        <v>266</v>
      </c>
      <c r="F78" s="38"/>
      <c r="G78" s="38" t="s">
        <v>24</v>
      </c>
      <c r="H78" s="38" t="s">
        <v>260</v>
      </c>
      <c r="I78" s="38" t="s">
        <v>25</v>
      </c>
      <c r="J78" s="38" t="s">
        <v>25</v>
      </c>
      <c r="K78" s="37" t="s">
        <v>24</v>
      </c>
      <c r="L78" s="37" t="s">
        <v>24</v>
      </c>
      <c r="M78" s="37" t="s">
        <v>24</v>
      </c>
      <c r="N78" s="37" t="s">
        <v>24</v>
      </c>
      <c r="O78" s="37" t="s">
        <v>24</v>
      </c>
      <c r="P78" s="37" t="s">
        <v>24</v>
      </c>
      <c r="Q78" s="37" t="s">
        <v>24</v>
      </c>
      <c r="R78" s="37"/>
      <c r="S78" s="37"/>
      <c r="T78" s="37"/>
      <c r="U78" s="37" t="s">
        <v>1467</v>
      </c>
      <c r="V78" s="38"/>
      <c r="W78" s="38"/>
      <c r="X78" s="38" t="s">
        <v>24</v>
      </c>
    </row>
    <row r="79" spans="1:24" s="36" customFormat="1" ht="52" x14ac:dyDescent="0.35">
      <c r="A79" s="37"/>
      <c r="B79" s="37" t="s">
        <v>257</v>
      </c>
      <c r="C79" s="38" t="s">
        <v>268</v>
      </c>
      <c r="D79" s="37" t="s">
        <v>45</v>
      </c>
      <c r="E79" s="38" t="s">
        <v>269</v>
      </c>
      <c r="F79" s="38"/>
      <c r="G79" s="38" t="s">
        <v>24</v>
      </c>
      <c r="H79" s="38" t="s">
        <v>260</v>
      </c>
      <c r="I79" s="38" t="s">
        <v>25</v>
      </c>
      <c r="J79" s="38" t="s">
        <v>25</v>
      </c>
      <c r="K79" s="37" t="s">
        <v>24</v>
      </c>
      <c r="L79" s="37" t="s">
        <v>24</v>
      </c>
      <c r="M79" s="37" t="s">
        <v>24</v>
      </c>
      <c r="N79" s="37" t="s">
        <v>24</v>
      </c>
      <c r="O79" s="37" t="s">
        <v>24</v>
      </c>
      <c r="P79" s="37" t="s">
        <v>24</v>
      </c>
      <c r="Q79" s="37" t="s">
        <v>24</v>
      </c>
      <c r="R79" s="37"/>
      <c r="S79" s="37"/>
      <c r="T79" s="37"/>
      <c r="U79" s="37" t="s">
        <v>1468</v>
      </c>
      <c r="V79" s="38"/>
      <c r="W79" s="38"/>
      <c r="X79" s="38" t="s">
        <v>24</v>
      </c>
    </row>
    <row r="80" spans="1:24" s="36" customFormat="1" ht="52" x14ac:dyDescent="0.35">
      <c r="A80" s="37"/>
      <c r="B80" s="37" t="s">
        <v>257</v>
      </c>
      <c r="C80" s="38" t="s">
        <v>271</v>
      </c>
      <c r="D80" s="37" t="s">
        <v>39</v>
      </c>
      <c r="E80" s="37" t="s">
        <v>272</v>
      </c>
      <c r="F80" s="37"/>
      <c r="G80" s="38" t="s">
        <v>24</v>
      </c>
      <c r="H80" s="38" t="s">
        <v>260</v>
      </c>
      <c r="I80" s="37" t="s">
        <v>25</v>
      </c>
      <c r="J80" s="37" t="s">
        <v>25</v>
      </c>
      <c r="K80" s="37" t="s">
        <v>24</v>
      </c>
      <c r="L80" s="37" t="s">
        <v>24</v>
      </c>
      <c r="M80" s="37" t="s">
        <v>24</v>
      </c>
      <c r="N80" s="37" t="s">
        <v>24</v>
      </c>
      <c r="O80" s="37" t="s">
        <v>24</v>
      </c>
      <c r="P80" s="37" t="s">
        <v>24</v>
      </c>
      <c r="Q80" s="37" t="s">
        <v>24</v>
      </c>
      <c r="R80" s="37"/>
      <c r="S80" s="37"/>
      <c r="T80" s="37"/>
      <c r="U80" s="37" t="s">
        <v>1469</v>
      </c>
      <c r="V80" s="38" t="s">
        <v>25</v>
      </c>
      <c r="W80" s="38" t="s">
        <v>1158</v>
      </c>
      <c r="X80" s="38" t="s">
        <v>25</v>
      </c>
    </row>
    <row r="81" spans="1:24" s="36" customFormat="1" ht="39" x14ac:dyDescent="0.35">
      <c r="A81" s="37"/>
      <c r="B81" s="37" t="s">
        <v>257</v>
      </c>
      <c r="C81" s="38" t="s">
        <v>274</v>
      </c>
      <c r="D81" s="37" t="s">
        <v>45</v>
      </c>
      <c r="E81" s="37" t="s">
        <v>275</v>
      </c>
      <c r="F81" s="37"/>
      <c r="G81" s="38" t="s">
        <v>24</v>
      </c>
      <c r="H81" s="38" t="s">
        <v>260</v>
      </c>
      <c r="I81" s="37" t="s">
        <v>25</v>
      </c>
      <c r="J81" s="37" t="s">
        <v>25</v>
      </c>
      <c r="K81" s="37" t="s">
        <v>24</v>
      </c>
      <c r="L81" s="37" t="s">
        <v>24</v>
      </c>
      <c r="M81" s="37" t="s">
        <v>24</v>
      </c>
      <c r="N81" s="37" t="s">
        <v>24</v>
      </c>
      <c r="O81" s="37" t="s">
        <v>24</v>
      </c>
      <c r="P81" s="37" t="s">
        <v>24</v>
      </c>
      <c r="Q81" s="37" t="s">
        <v>24</v>
      </c>
      <c r="R81" s="37"/>
      <c r="S81" s="37"/>
      <c r="T81" s="37"/>
      <c r="U81" s="37" t="s">
        <v>1470</v>
      </c>
      <c r="V81" s="38" t="s">
        <v>25</v>
      </c>
      <c r="W81" s="38" t="s">
        <v>1158</v>
      </c>
      <c r="X81" s="38" t="s">
        <v>25</v>
      </c>
    </row>
    <row r="82" spans="1:24" s="36" customFormat="1" ht="65" x14ac:dyDescent="0.35">
      <c r="A82" s="37"/>
      <c r="B82" s="37" t="s">
        <v>257</v>
      </c>
      <c r="C82" s="38" t="s">
        <v>277</v>
      </c>
      <c r="D82" s="37" t="s">
        <v>45</v>
      </c>
      <c r="E82" s="37" t="s">
        <v>278</v>
      </c>
      <c r="F82" s="37"/>
      <c r="G82" s="38" t="s">
        <v>24</v>
      </c>
      <c r="H82" s="38" t="s">
        <v>260</v>
      </c>
      <c r="I82" s="37" t="s">
        <v>25</v>
      </c>
      <c r="J82" s="37" t="s">
        <v>25</v>
      </c>
      <c r="K82" s="37" t="s">
        <v>24</v>
      </c>
      <c r="L82" s="37" t="s">
        <v>24</v>
      </c>
      <c r="M82" s="37" t="s">
        <v>24</v>
      </c>
      <c r="N82" s="37" t="s">
        <v>24</v>
      </c>
      <c r="O82" s="37" t="s">
        <v>24</v>
      </c>
      <c r="P82" s="37" t="s">
        <v>24</v>
      </c>
      <c r="Q82" s="37" t="s">
        <v>24</v>
      </c>
      <c r="R82" s="37"/>
      <c r="S82" s="37"/>
      <c r="T82" s="37"/>
      <c r="U82" s="37" t="s">
        <v>1471</v>
      </c>
      <c r="V82" s="38"/>
      <c r="W82" s="38"/>
      <c r="X82" s="38" t="s">
        <v>25</v>
      </c>
    </row>
    <row r="83" spans="1:24" s="36" customFormat="1" ht="117" x14ac:dyDescent="0.35">
      <c r="A83" s="37"/>
      <c r="B83" s="37" t="s">
        <v>257</v>
      </c>
      <c r="C83" s="38" t="s">
        <v>280</v>
      </c>
      <c r="D83" s="37" t="s">
        <v>45</v>
      </c>
      <c r="E83" s="37" t="s">
        <v>281</v>
      </c>
      <c r="F83" s="37"/>
      <c r="G83" s="38" t="s">
        <v>24</v>
      </c>
      <c r="H83" s="38" t="s">
        <v>260</v>
      </c>
      <c r="I83" s="37" t="s">
        <v>25</v>
      </c>
      <c r="J83" s="37" t="s">
        <v>25</v>
      </c>
      <c r="K83" s="37" t="s">
        <v>24</v>
      </c>
      <c r="L83" s="37" t="s">
        <v>24</v>
      </c>
      <c r="M83" s="37" t="s">
        <v>24</v>
      </c>
      <c r="N83" s="37" t="s">
        <v>24</v>
      </c>
      <c r="O83" s="37" t="s">
        <v>24</v>
      </c>
      <c r="P83" s="37" t="s">
        <v>24</v>
      </c>
      <c r="Q83" s="37" t="s">
        <v>24</v>
      </c>
      <c r="R83" s="37"/>
      <c r="S83" s="37"/>
      <c r="T83" s="37"/>
      <c r="U83" s="44" t="s">
        <v>1484</v>
      </c>
      <c r="V83" s="38" t="s">
        <v>25</v>
      </c>
      <c r="W83" s="38" t="s">
        <v>1158</v>
      </c>
      <c r="X83" s="38" t="s">
        <v>25</v>
      </c>
    </row>
    <row r="84" spans="1:24" s="36" customFormat="1" ht="78" x14ac:dyDescent="0.35">
      <c r="A84" s="37"/>
      <c r="B84" s="37" t="s">
        <v>257</v>
      </c>
      <c r="C84" s="38" t="s">
        <v>283</v>
      </c>
      <c r="D84" s="37" t="s">
        <v>45</v>
      </c>
      <c r="E84" s="37" t="s">
        <v>284</v>
      </c>
      <c r="F84" s="37"/>
      <c r="G84" s="38" t="s">
        <v>24</v>
      </c>
      <c r="H84" s="38" t="s">
        <v>260</v>
      </c>
      <c r="I84" s="37" t="s">
        <v>25</v>
      </c>
      <c r="J84" s="37" t="s">
        <v>25</v>
      </c>
      <c r="K84" s="37" t="s">
        <v>24</v>
      </c>
      <c r="L84" s="37" t="s">
        <v>24</v>
      </c>
      <c r="M84" s="37" t="s">
        <v>24</v>
      </c>
      <c r="N84" s="37" t="s">
        <v>24</v>
      </c>
      <c r="O84" s="37" t="s">
        <v>24</v>
      </c>
      <c r="P84" s="37" t="s">
        <v>24</v>
      </c>
      <c r="Q84" s="37" t="s">
        <v>24</v>
      </c>
      <c r="R84" s="37"/>
      <c r="S84" s="37"/>
      <c r="T84" s="37"/>
      <c r="U84" s="44" t="s">
        <v>1485</v>
      </c>
      <c r="V84" s="38" t="s">
        <v>25</v>
      </c>
      <c r="W84" s="38" t="s">
        <v>1158</v>
      </c>
      <c r="X84" s="38" t="s">
        <v>25</v>
      </c>
    </row>
    <row r="85" spans="1:24" s="36" customFormat="1" ht="39" x14ac:dyDescent="0.35">
      <c r="A85" s="37"/>
      <c r="B85" s="37" t="s">
        <v>257</v>
      </c>
      <c r="C85" s="38" t="s">
        <v>286</v>
      </c>
      <c r="D85" s="37" t="s">
        <v>21</v>
      </c>
      <c r="E85" s="37" t="s">
        <v>287</v>
      </c>
      <c r="F85" s="37"/>
      <c r="G85" s="38" t="s">
        <v>24</v>
      </c>
      <c r="H85" s="38" t="s">
        <v>260</v>
      </c>
      <c r="I85" s="37" t="s">
        <v>25</v>
      </c>
      <c r="J85" s="37" t="s">
        <v>25</v>
      </c>
      <c r="K85" s="37" t="s">
        <v>24</v>
      </c>
      <c r="L85" s="37" t="s">
        <v>24</v>
      </c>
      <c r="M85" s="37" t="s">
        <v>24</v>
      </c>
      <c r="N85" s="37" t="s">
        <v>24</v>
      </c>
      <c r="O85" s="37" t="s">
        <v>24</v>
      </c>
      <c r="P85" s="37" t="s">
        <v>24</v>
      </c>
      <c r="Q85" s="37" t="s">
        <v>24</v>
      </c>
      <c r="R85" s="37"/>
      <c r="S85" s="37"/>
      <c r="T85" s="37"/>
      <c r="U85" s="37" t="s">
        <v>1474</v>
      </c>
      <c r="V85" s="38" t="s">
        <v>25</v>
      </c>
      <c r="W85" s="38" t="s">
        <v>1158</v>
      </c>
      <c r="X85" s="38" t="s">
        <v>25</v>
      </c>
    </row>
    <row r="86" spans="1:24" s="36" customFormat="1" ht="65" x14ac:dyDescent="0.35">
      <c r="A86" s="37"/>
      <c r="B86" s="37" t="s">
        <v>257</v>
      </c>
      <c r="C86" s="38" t="s">
        <v>289</v>
      </c>
      <c r="D86" s="38"/>
      <c r="E86" s="38" t="s">
        <v>290</v>
      </c>
      <c r="F86" s="37"/>
      <c r="G86" s="38"/>
      <c r="H86" s="38" t="s">
        <v>7</v>
      </c>
      <c r="I86" s="38"/>
      <c r="J86" s="38" t="s">
        <v>25</v>
      </c>
      <c r="K86" s="38"/>
      <c r="L86" s="38"/>
      <c r="M86" s="38"/>
      <c r="N86" s="38"/>
      <c r="O86" s="38"/>
      <c r="P86" s="38"/>
      <c r="Q86" s="38"/>
      <c r="R86" s="38"/>
      <c r="S86" s="38"/>
      <c r="T86" s="38"/>
      <c r="U86" s="38" t="s">
        <v>1475</v>
      </c>
      <c r="V86" s="38"/>
      <c r="W86" s="38"/>
      <c r="X86" s="38"/>
    </row>
    <row r="87" spans="1:24" s="36" customFormat="1" ht="65" x14ac:dyDescent="0.35">
      <c r="A87" s="37"/>
      <c r="B87" s="37" t="s">
        <v>257</v>
      </c>
      <c r="C87" s="38" t="s">
        <v>292</v>
      </c>
      <c r="D87" s="38" t="s">
        <v>21</v>
      </c>
      <c r="E87" s="38" t="s">
        <v>278</v>
      </c>
      <c r="F87" s="37"/>
      <c r="G87" s="38" t="s">
        <v>24</v>
      </c>
      <c r="H87" s="38" t="s">
        <v>7</v>
      </c>
      <c r="I87" s="37" t="s">
        <v>24</v>
      </c>
      <c r="J87" s="37" t="s">
        <v>25</v>
      </c>
      <c r="K87" s="37" t="s">
        <v>24</v>
      </c>
      <c r="L87" s="37" t="s">
        <v>24</v>
      </c>
      <c r="M87" s="37" t="s">
        <v>24</v>
      </c>
      <c r="N87" s="37" t="s">
        <v>24</v>
      </c>
      <c r="O87" s="37" t="s">
        <v>24</v>
      </c>
      <c r="P87" s="37" t="s">
        <v>24</v>
      </c>
      <c r="Q87" s="37" t="s">
        <v>24</v>
      </c>
      <c r="R87" s="38"/>
      <c r="S87" s="38"/>
      <c r="T87" s="38"/>
      <c r="U87" s="38" t="s">
        <v>293</v>
      </c>
      <c r="V87" s="38"/>
      <c r="W87" s="38"/>
      <c r="X87" s="38"/>
    </row>
    <row r="88" spans="1:24" s="36" customFormat="1" ht="39" x14ac:dyDescent="0.35">
      <c r="A88" s="37"/>
      <c r="B88" s="37" t="s">
        <v>257</v>
      </c>
      <c r="C88" s="38" t="s">
        <v>294</v>
      </c>
      <c r="D88" s="38" t="s">
        <v>21</v>
      </c>
      <c r="E88" s="38" t="s">
        <v>295</v>
      </c>
      <c r="F88" s="38"/>
      <c r="G88" s="38"/>
      <c r="H88" s="38" t="s">
        <v>7</v>
      </c>
      <c r="I88" s="38"/>
      <c r="J88" s="38" t="s">
        <v>25</v>
      </c>
      <c r="K88" s="38" t="s">
        <v>24</v>
      </c>
      <c r="L88" s="38" t="s">
        <v>24</v>
      </c>
      <c r="M88" s="38" t="s">
        <v>24</v>
      </c>
      <c r="N88" s="38" t="s">
        <v>24</v>
      </c>
      <c r="O88" s="38" t="s">
        <v>24</v>
      </c>
      <c r="P88" s="38" t="s">
        <v>24</v>
      </c>
      <c r="Q88" s="38" t="s">
        <v>24</v>
      </c>
      <c r="R88" s="38"/>
      <c r="S88" s="38"/>
      <c r="T88" s="38"/>
      <c r="U88" s="38" t="s">
        <v>1476</v>
      </c>
      <c r="V88" s="38"/>
      <c r="W88" s="38"/>
      <c r="X88" s="38"/>
    </row>
  </sheetData>
  <phoneticPr fontId="16" type="noConversion"/>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8876-3CE5-452F-8B7E-BD584E468FC5}">
  <dimension ref="A1:N38"/>
  <sheetViews>
    <sheetView zoomScale="85" zoomScaleNormal="85" workbookViewId="0">
      <pane xSplit="4" ySplit="1" topLeftCell="E2" activePane="bottomRight" state="frozen"/>
      <selection pane="topRight" activeCell="E1" sqref="E1"/>
      <selection pane="bottomLeft" activeCell="A2" sqref="A2"/>
      <selection pane="bottomRight" activeCell="G1" sqref="E1:G1048576"/>
    </sheetView>
  </sheetViews>
  <sheetFormatPr defaultColWidth="8.81640625" defaultRowHeight="13" x14ac:dyDescent="0.35"/>
  <cols>
    <col min="1" max="1" width="4.7265625" style="84" bestFit="1" customWidth="1"/>
    <col min="2" max="2" width="14.1796875" style="84" customWidth="1"/>
    <col min="3" max="3" width="12.7265625" style="84" customWidth="1"/>
    <col min="4" max="4" width="24.7265625" style="84" customWidth="1"/>
    <col min="5" max="5" width="15.7265625" style="84" customWidth="1"/>
    <col min="6" max="6" width="16.54296875" style="84" customWidth="1"/>
    <col min="7" max="7" width="26.54296875" style="84" customWidth="1"/>
    <col min="8" max="8" width="14.54296875" style="84" customWidth="1"/>
    <col min="9" max="9" width="32.453125" style="84" customWidth="1"/>
    <col min="10" max="10" width="56.54296875" style="84" customWidth="1"/>
    <col min="11" max="11" width="50.7265625" style="84" customWidth="1"/>
    <col min="12" max="12" width="40.26953125" style="84" customWidth="1"/>
    <col min="13" max="13" width="12.26953125" style="84" customWidth="1"/>
    <col min="14" max="14" width="17.1796875" style="84" customWidth="1"/>
    <col min="15" max="16384" width="8.81640625" style="84"/>
  </cols>
  <sheetData>
    <row r="1" spans="1:14" x14ac:dyDescent="0.35">
      <c r="A1" s="78" t="s">
        <v>0</v>
      </c>
      <c r="B1" s="79" t="s">
        <v>337</v>
      </c>
      <c r="C1" s="79" t="s">
        <v>338</v>
      </c>
      <c r="D1" s="79" t="s">
        <v>339</v>
      </c>
      <c r="E1" s="79" t="s">
        <v>1154</v>
      </c>
      <c r="F1" s="79" t="s">
        <v>1155</v>
      </c>
      <c r="G1" s="79" t="s">
        <v>1156</v>
      </c>
      <c r="H1" s="80" t="s">
        <v>1085</v>
      </c>
      <c r="I1" s="80" t="s">
        <v>1157</v>
      </c>
      <c r="J1" s="81" t="s">
        <v>1086</v>
      </c>
      <c r="K1" s="82" t="s">
        <v>676</v>
      </c>
      <c r="L1" s="79" t="s">
        <v>345</v>
      </c>
      <c r="M1" s="81" t="s">
        <v>346</v>
      </c>
      <c r="N1" s="83" t="s">
        <v>347</v>
      </c>
    </row>
    <row r="2" spans="1:14" x14ac:dyDescent="0.35">
      <c r="B2" s="84" t="s">
        <v>1087</v>
      </c>
      <c r="D2" s="84" t="s">
        <v>6</v>
      </c>
      <c r="E2" s="84" t="s">
        <v>1158</v>
      </c>
      <c r="F2" s="84" t="s">
        <v>1499</v>
      </c>
      <c r="G2" s="84" t="s">
        <v>1164</v>
      </c>
      <c r="H2" s="84" t="s">
        <v>359</v>
      </c>
      <c r="I2" s="84" t="s">
        <v>26</v>
      </c>
      <c r="J2" s="84" t="s">
        <v>1500</v>
      </c>
      <c r="K2" s="84" t="s">
        <v>1501</v>
      </c>
    </row>
    <row r="3" spans="1:14" ht="39" x14ac:dyDescent="0.35">
      <c r="B3" s="84" t="s">
        <v>1087</v>
      </c>
      <c r="D3" s="84" t="s">
        <v>28</v>
      </c>
      <c r="E3" s="84" t="s">
        <v>1164</v>
      </c>
      <c r="F3" s="84" t="s">
        <v>29</v>
      </c>
      <c r="G3" s="84" t="s">
        <v>1158</v>
      </c>
      <c r="H3" s="84" t="s">
        <v>350</v>
      </c>
      <c r="I3" s="84" t="s">
        <v>1159</v>
      </c>
      <c r="J3" s="84" t="s">
        <v>26</v>
      </c>
      <c r="K3" s="84" t="s">
        <v>1502</v>
      </c>
    </row>
    <row r="4" spans="1:14" ht="26" x14ac:dyDescent="0.35">
      <c r="B4" s="84" t="s">
        <v>1087</v>
      </c>
      <c r="D4" s="84" t="s">
        <v>356</v>
      </c>
      <c r="E4" s="84" t="s">
        <v>1158</v>
      </c>
      <c r="F4" s="84" t="s">
        <v>1324</v>
      </c>
      <c r="G4" s="84" t="s">
        <v>1158</v>
      </c>
      <c r="H4" s="84" t="s">
        <v>1090</v>
      </c>
      <c r="I4" s="84" t="s">
        <v>1159</v>
      </c>
      <c r="J4" s="85" t="s">
        <v>1162</v>
      </c>
      <c r="K4" s="84" t="s">
        <v>1503</v>
      </c>
    </row>
    <row r="5" spans="1:14" ht="26" x14ac:dyDescent="0.35">
      <c r="B5" s="84" t="s">
        <v>1087</v>
      </c>
      <c r="D5" s="84" t="s">
        <v>358</v>
      </c>
      <c r="E5" s="84" t="s">
        <v>1164</v>
      </c>
      <c r="F5" s="84" t="s">
        <v>1325</v>
      </c>
      <c r="G5" s="84" t="s">
        <v>1164</v>
      </c>
      <c r="H5" s="84" t="s">
        <v>359</v>
      </c>
      <c r="I5" s="84" t="s">
        <v>26</v>
      </c>
      <c r="J5" s="84" t="s">
        <v>26</v>
      </c>
      <c r="K5" s="85" t="s">
        <v>360</v>
      </c>
    </row>
    <row r="6" spans="1:14" ht="26" x14ac:dyDescent="0.35">
      <c r="B6" s="84" t="s">
        <v>1087</v>
      </c>
      <c r="D6" s="84" t="s">
        <v>361</v>
      </c>
      <c r="E6" s="84" t="s">
        <v>1164</v>
      </c>
      <c r="F6" s="84" t="s">
        <v>1326</v>
      </c>
      <c r="G6" s="84" t="s">
        <v>1164</v>
      </c>
      <c r="H6" s="84" t="s">
        <v>359</v>
      </c>
      <c r="I6" s="84" t="s">
        <v>26</v>
      </c>
      <c r="J6" s="84" t="s">
        <v>26</v>
      </c>
      <c r="K6" s="85" t="s">
        <v>362</v>
      </c>
    </row>
    <row r="7" spans="1:14" ht="26" x14ac:dyDescent="0.35">
      <c r="B7" s="84" t="s">
        <v>1087</v>
      </c>
      <c r="D7" s="84" t="s">
        <v>363</v>
      </c>
      <c r="E7" s="84" t="s">
        <v>1164</v>
      </c>
      <c r="F7" s="84" t="s">
        <v>1327</v>
      </c>
      <c r="G7" s="84" t="s">
        <v>1164</v>
      </c>
      <c r="H7" s="84" t="s">
        <v>359</v>
      </c>
      <c r="J7" s="84" t="s">
        <v>26</v>
      </c>
      <c r="K7" s="85" t="s">
        <v>364</v>
      </c>
    </row>
    <row r="8" spans="1:14" ht="26" x14ac:dyDescent="0.35">
      <c r="B8" s="84" t="s">
        <v>1087</v>
      </c>
      <c r="D8" s="84" t="s">
        <v>367</v>
      </c>
      <c r="E8" s="84" t="s">
        <v>1164</v>
      </c>
      <c r="F8" s="84" t="s">
        <v>1331</v>
      </c>
      <c r="G8" s="84" t="s">
        <v>1164</v>
      </c>
      <c r="H8" s="84" t="s">
        <v>368</v>
      </c>
      <c r="J8" s="84" t="s">
        <v>26</v>
      </c>
      <c r="K8" s="84" t="s">
        <v>1167</v>
      </c>
    </row>
    <row r="9" spans="1:14" ht="39" x14ac:dyDescent="0.35">
      <c r="B9" s="84" t="s">
        <v>1087</v>
      </c>
      <c r="C9" s="84" t="s">
        <v>1093</v>
      </c>
      <c r="D9" s="84" t="s">
        <v>1094</v>
      </c>
      <c r="E9" s="84" t="s">
        <v>1164</v>
      </c>
      <c r="F9" s="84" t="s">
        <v>1504</v>
      </c>
      <c r="G9" s="84" t="s">
        <v>1164</v>
      </c>
      <c r="H9" s="84" t="s">
        <v>359</v>
      </c>
      <c r="J9" s="84" t="s">
        <v>26</v>
      </c>
      <c r="K9" s="84" t="s">
        <v>1095</v>
      </c>
    </row>
    <row r="10" spans="1:14" ht="52" x14ac:dyDescent="0.35">
      <c r="B10" s="84" t="s">
        <v>1087</v>
      </c>
      <c r="C10" s="84" t="s">
        <v>1093</v>
      </c>
      <c r="D10" s="84" t="s">
        <v>1096</v>
      </c>
      <c r="E10" s="84" t="s">
        <v>1164</v>
      </c>
      <c r="F10" s="84" t="s">
        <v>1505</v>
      </c>
      <c r="G10" s="84" t="s">
        <v>1164</v>
      </c>
      <c r="H10" s="84" t="s">
        <v>359</v>
      </c>
      <c r="J10" s="84" t="s">
        <v>26</v>
      </c>
      <c r="K10" s="84" t="s">
        <v>1506</v>
      </c>
    </row>
    <row r="11" spans="1:14" ht="39" x14ac:dyDescent="0.35">
      <c r="B11" s="84" t="s">
        <v>1087</v>
      </c>
      <c r="C11" s="84" t="s">
        <v>1093</v>
      </c>
      <c r="D11" s="84" t="s">
        <v>1098</v>
      </c>
      <c r="E11" s="84" t="s">
        <v>1158</v>
      </c>
      <c r="F11" s="84" t="s">
        <v>1507</v>
      </c>
      <c r="G11" s="84" t="s">
        <v>1158</v>
      </c>
      <c r="H11" s="85" t="s">
        <v>359</v>
      </c>
      <c r="J11" s="85" t="s">
        <v>1508</v>
      </c>
      <c r="K11" s="84" t="s">
        <v>1509</v>
      </c>
    </row>
    <row r="12" spans="1:14" ht="39" x14ac:dyDescent="0.35">
      <c r="B12" s="84" t="s">
        <v>1087</v>
      </c>
      <c r="C12" s="84" t="s">
        <v>1093</v>
      </c>
      <c r="D12" s="84" t="s">
        <v>1100</v>
      </c>
      <c r="E12" s="84" t="s">
        <v>1158</v>
      </c>
      <c r="F12" s="84" t="s">
        <v>1510</v>
      </c>
      <c r="G12" s="84" t="s">
        <v>1158</v>
      </c>
      <c r="H12" s="85" t="s">
        <v>359</v>
      </c>
      <c r="J12" s="85" t="s">
        <v>1508</v>
      </c>
      <c r="K12" s="84" t="s">
        <v>1511</v>
      </c>
    </row>
    <row r="13" spans="1:14" ht="39" x14ac:dyDescent="0.35">
      <c r="B13" s="84" t="s">
        <v>1087</v>
      </c>
      <c r="C13" s="84" t="s">
        <v>1093</v>
      </c>
      <c r="D13" s="84" t="s">
        <v>361</v>
      </c>
      <c r="E13" s="84" t="s">
        <v>1164</v>
      </c>
      <c r="F13" s="84" t="s">
        <v>26</v>
      </c>
      <c r="G13" s="84" t="s">
        <v>1164</v>
      </c>
      <c r="H13" s="84" t="s">
        <v>359</v>
      </c>
      <c r="J13" s="84" t="s">
        <v>26</v>
      </c>
      <c r="K13" s="84" t="s">
        <v>1102</v>
      </c>
    </row>
    <row r="14" spans="1:14" ht="65" x14ac:dyDescent="0.35">
      <c r="B14" s="84" t="s">
        <v>1087</v>
      </c>
      <c r="C14" s="84" t="s">
        <v>1093</v>
      </c>
      <c r="D14" s="84" t="s">
        <v>1103</v>
      </c>
      <c r="E14" s="84" t="s">
        <v>1164</v>
      </c>
      <c r="F14" s="84" t="s">
        <v>26</v>
      </c>
      <c r="G14" s="84" t="s">
        <v>1164</v>
      </c>
      <c r="H14" s="84" t="s">
        <v>359</v>
      </c>
      <c r="J14" s="84" t="s">
        <v>26</v>
      </c>
      <c r="K14" s="84" t="s">
        <v>1104</v>
      </c>
    </row>
    <row r="15" spans="1:14" x14ac:dyDescent="0.35">
      <c r="B15" s="84" t="s">
        <v>1105</v>
      </c>
      <c r="D15" s="84" t="s">
        <v>1105</v>
      </c>
      <c r="E15" s="84" t="s">
        <v>1164</v>
      </c>
      <c r="F15" s="84" t="s">
        <v>1171</v>
      </c>
      <c r="G15" s="84" t="s">
        <v>1164</v>
      </c>
      <c r="H15" s="84" t="s">
        <v>359</v>
      </c>
      <c r="J15" s="84" t="s">
        <v>26</v>
      </c>
      <c r="K15" s="84" t="s">
        <v>1512</v>
      </c>
    </row>
    <row r="16" spans="1:14" ht="130" x14ac:dyDescent="0.35">
      <c r="B16" s="84" t="s">
        <v>1105</v>
      </c>
      <c r="C16" s="84" t="s">
        <v>1106</v>
      </c>
      <c r="D16" s="84" t="s">
        <v>1106</v>
      </c>
      <c r="E16" s="84" t="s">
        <v>1158</v>
      </c>
      <c r="F16" s="84" t="s">
        <v>1513</v>
      </c>
      <c r="G16" s="84" t="s">
        <v>1158</v>
      </c>
      <c r="H16" s="84" t="s">
        <v>1107</v>
      </c>
      <c r="I16" s="84" t="s">
        <v>1329</v>
      </c>
      <c r="J16" s="84" t="s">
        <v>1514</v>
      </c>
      <c r="K16" s="86" t="s">
        <v>1515</v>
      </c>
      <c r="L16" s="86"/>
    </row>
    <row r="17" spans="2:12" ht="182" x14ac:dyDescent="0.35">
      <c r="B17" s="84" t="s">
        <v>1105</v>
      </c>
      <c r="C17" s="84" t="s">
        <v>1109</v>
      </c>
      <c r="D17" s="84" t="s">
        <v>1109</v>
      </c>
      <c r="E17" s="84" t="s">
        <v>1164</v>
      </c>
      <c r="F17" s="84" t="s">
        <v>1109</v>
      </c>
      <c r="G17" s="84" t="s">
        <v>1164</v>
      </c>
      <c r="H17" s="84" t="s">
        <v>359</v>
      </c>
      <c r="K17" s="87" t="s">
        <v>1516</v>
      </c>
      <c r="L17" s="87"/>
    </row>
    <row r="18" spans="2:12" ht="39" x14ac:dyDescent="0.35">
      <c r="B18" s="84" t="s">
        <v>1105</v>
      </c>
      <c r="C18" s="84" t="s">
        <v>10</v>
      </c>
      <c r="D18" s="84" t="s">
        <v>10</v>
      </c>
      <c r="E18" s="84" t="s">
        <v>1164</v>
      </c>
      <c r="F18" s="84" t="s">
        <v>1517</v>
      </c>
      <c r="G18" s="84" t="s">
        <v>1164</v>
      </c>
      <c r="H18" s="84" t="s">
        <v>359</v>
      </c>
      <c r="K18" s="87" t="s">
        <v>1518</v>
      </c>
      <c r="L18" s="87"/>
    </row>
    <row r="19" spans="2:12" ht="78" x14ac:dyDescent="0.35">
      <c r="B19" s="84" t="s">
        <v>1105</v>
      </c>
      <c r="C19" s="84" t="s">
        <v>1112</v>
      </c>
      <c r="D19" s="84" t="s">
        <v>1112</v>
      </c>
      <c r="E19" s="84" t="s">
        <v>1164</v>
      </c>
      <c r="F19" s="84" t="s">
        <v>1112</v>
      </c>
      <c r="G19" s="84" t="s">
        <v>1164</v>
      </c>
      <c r="H19" s="84" t="s">
        <v>359</v>
      </c>
      <c r="K19" s="87" t="s">
        <v>1519</v>
      </c>
      <c r="L19" s="87"/>
    </row>
    <row r="20" spans="2:12" ht="104" x14ac:dyDescent="0.35">
      <c r="B20" s="84" t="s">
        <v>1114</v>
      </c>
      <c r="D20" s="84" t="s">
        <v>1114</v>
      </c>
      <c r="E20" s="84" t="s">
        <v>1164</v>
      </c>
      <c r="F20" s="84" t="s">
        <v>1520</v>
      </c>
      <c r="G20" s="84" t="s">
        <v>1164</v>
      </c>
      <c r="H20" s="84" t="s">
        <v>359</v>
      </c>
      <c r="J20" s="84" t="s">
        <v>26</v>
      </c>
      <c r="K20" s="84" t="s">
        <v>1115</v>
      </c>
    </row>
    <row r="21" spans="2:12" s="88" customFormat="1" ht="65" x14ac:dyDescent="0.35">
      <c r="C21" s="88" t="s">
        <v>1116</v>
      </c>
      <c r="D21" s="88" t="s">
        <v>1116</v>
      </c>
      <c r="E21" s="88" t="s">
        <v>1164</v>
      </c>
      <c r="F21" s="88" t="s">
        <v>1521</v>
      </c>
      <c r="G21" s="88" t="s">
        <v>1158</v>
      </c>
      <c r="H21" s="88" t="s">
        <v>1107</v>
      </c>
      <c r="I21" s="88" t="s">
        <v>8</v>
      </c>
      <c r="J21" s="88" t="s">
        <v>26</v>
      </c>
      <c r="K21" s="88" t="s">
        <v>1117</v>
      </c>
    </row>
    <row r="22" spans="2:12" ht="78" x14ac:dyDescent="0.35">
      <c r="C22" s="84" t="s">
        <v>1522</v>
      </c>
      <c r="D22" s="84" t="s">
        <v>365</v>
      </c>
      <c r="E22" s="84" t="s">
        <v>1164</v>
      </c>
      <c r="F22" s="84" t="s">
        <v>1328</v>
      </c>
      <c r="G22" s="84" t="s">
        <v>1158</v>
      </c>
      <c r="H22" s="84" t="s">
        <v>1107</v>
      </c>
      <c r="I22" s="84" t="s">
        <v>8</v>
      </c>
      <c r="J22" s="84" t="s">
        <v>26</v>
      </c>
      <c r="K22" s="84" t="s">
        <v>1119</v>
      </c>
    </row>
    <row r="23" spans="2:12" ht="39" x14ac:dyDescent="0.35">
      <c r="C23" s="84" t="s">
        <v>1522</v>
      </c>
      <c r="D23" s="84" t="s">
        <v>38</v>
      </c>
      <c r="E23" s="84" t="s">
        <v>1164</v>
      </c>
      <c r="G23" s="84" t="s">
        <v>1158</v>
      </c>
      <c r="H23" s="84" t="s">
        <v>1120</v>
      </c>
      <c r="I23" s="84" t="s">
        <v>41</v>
      </c>
      <c r="J23" s="84" t="s">
        <v>26</v>
      </c>
      <c r="K23" s="84" t="s">
        <v>1121</v>
      </c>
    </row>
    <row r="24" spans="2:12" ht="39" x14ac:dyDescent="0.35">
      <c r="C24" s="84" t="s">
        <v>1522</v>
      </c>
      <c r="D24" s="84" t="s">
        <v>56</v>
      </c>
      <c r="E24" s="84" t="s">
        <v>1164</v>
      </c>
      <c r="G24" s="84" t="s">
        <v>1158</v>
      </c>
      <c r="H24" s="84" t="s">
        <v>1120</v>
      </c>
      <c r="I24" s="84" t="s">
        <v>47</v>
      </c>
      <c r="J24" s="84" t="s">
        <v>26</v>
      </c>
      <c r="K24" s="84" t="s">
        <v>1122</v>
      </c>
    </row>
    <row r="25" spans="2:12" ht="39" x14ac:dyDescent="0.35">
      <c r="C25" s="84" t="s">
        <v>1522</v>
      </c>
      <c r="D25" s="84" t="s">
        <v>1123</v>
      </c>
      <c r="E25" s="84" t="s">
        <v>1164</v>
      </c>
      <c r="G25" s="84" t="s">
        <v>1158</v>
      </c>
      <c r="H25" s="84" t="s">
        <v>1120</v>
      </c>
      <c r="I25" s="84" t="s">
        <v>23</v>
      </c>
      <c r="J25" s="84" t="s">
        <v>26</v>
      </c>
      <c r="K25" s="84" t="s">
        <v>1124</v>
      </c>
    </row>
    <row r="26" spans="2:12" ht="39" x14ac:dyDescent="0.35">
      <c r="C26" s="84" t="s">
        <v>1522</v>
      </c>
      <c r="D26" s="84" t="s">
        <v>44</v>
      </c>
      <c r="E26" s="84" t="s">
        <v>1164</v>
      </c>
      <c r="G26" s="84" t="s">
        <v>1158</v>
      </c>
      <c r="H26" s="84" t="s">
        <v>1120</v>
      </c>
      <c r="I26" s="84" t="s">
        <v>47</v>
      </c>
      <c r="J26" s="84" t="s">
        <v>26</v>
      </c>
      <c r="K26" s="84" t="s">
        <v>1125</v>
      </c>
    </row>
    <row r="27" spans="2:12" ht="39" x14ac:dyDescent="0.35">
      <c r="C27" s="84" t="s">
        <v>1522</v>
      </c>
      <c r="D27" s="84" t="s">
        <v>947</v>
      </c>
      <c r="E27" s="84" t="s">
        <v>1164</v>
      </c>
      <c r="G27" s="84" t="s">
        <v>1158</v>
      </c>
      <c r="H27" s="84" t="s">
        <v>1120</v>
      </c>
      <c r="I27" s="84" t="s">
        <v>47</v>
      </c>
      <c r="J27" s="84" t="s">
        <v>26</v>
      </c>
      <c r="K27" s="84" t="s">
        <v>1126</v>
      </c>
    </row>
    <row r="28" spans="2:12" ht="39" x14ac:dyDescent="0.35">
      <c r="C28" s="84" t="s">
        <v>1522</v>
      </c>
      <c r="D28" s="84" t="s">
        <v>1127</v>
      </c>
      <c r="E28" s="84" t="s">
        <v>1158</v>
      </c>
      <c r="G28" s="84" t="s">
        <v>1158</v>
      </c>
      <c r="H28" s="84" t="s">
        <v>1120</v>
      </c>
      <c r="I28" s="84" t="s">
        <v>8</v>
      </c>
      <c r="J28" s="84" t="s">
        <v>1128</v>
      </c>
      <c r="K28" s="84" t="s">
        <v>1129</v>
      </c>
    </row>
    <row r="29" spans="2:12" ht="39" x14ac:dyDescent="0.35">
      <c r="C29" s="84" t="s">
        <v>1522</v>
      </c>
      <c r="D29" s="84" t="s">
        <v>1130</v>
      </c>
      <c r="E29" s="84" t="s">
        <v>1164</v>
      </c>
      <c r="G29" s="84" t="s">
        <v>1158</v>
      </c>
      <c r="H29" s="84" t="s">
        <v>1120</v>
      </c>
      <c r="I29" s="84" t="s">
        <v>47</v>
      </c>
      <c r="J29" s="84" t="s">
        <v>26</v>
      </c>
      <c r="K29" s="84" t="s">
        <v>1131</v>
      </c>
    </row>
    <row r="30" spans="2:12" ht="39" x14ac:dyDescent="0.35">
      <c r="C30" s="84" t="s">
        <v>1522</v>
      </c>
      <c r="D30" s="84" t="s">
        <v>1132</v>
      </c>
      <c r="E30" s="84" t="s">
        <v>1164</v>
      </c>
      <c r="G30" s="84" t="s">
        <v>1158</v>
      </c>
      <c r="H30" s="84" t="s">
        <v>1120</v>
      </c>
      <c r="I30" s="84" t="s">
        <v>47</v>
      </c>
      <c r="J30" s="84" t="s">
        <v>26</v>
      </c>
      <c r="K30" s="84" t="s">
        <v>1133</v>
      </c>
    </row>
    <row r="31" spans="2:12" ht="409.5" x14ac:dyDescent="0.35">
      <c r="C31" s="84" t="s">
        <v>1134</v>
      </c>
      <c r="D31" s="84" t="s">
        <v>1135</v>
      </c>
      <c r="E31" s="84" t="s">
        <v>1164</v>
      </c>
      <c r="G31" s="84" t="s">
        <v>1158</v>
      </c>
      <c r="H31" s="84" t="s">
        <v>1136</v>
      </c>
      <c r="I31" s="84" t="s">
        <v>1136</v>
      </c>
      <c r="J31" s="84" t="s">
        <v>26</v>
      </c>
      <c r="K31" s="84" t="s">
        <v>1137</v>
      </c>
    </row>
    <row r="32" spans="2:12" ht="104" x14ac:dyDescent="0.35">
      <c r="C32" s="84" t="s">
        <v>1134</v>
      </c>
      <c r="D32" s="84" t="s">
        <v>1138</v>
      </c>
      <c r="E32" s="84" t="s">
        <v>1158</v>
      </c>
      <c r="G32" s="84" t="s">
        <v>1158</v>
      </c>
      <c r="H32" s="84" t="s">
        <v>1136</v>
      </c>
      <c r="I32" s="84" t="s">
        <v>1136</v>
      </c>
      <c r="J32" s="84" t="s">
        <v>1139</v>
      </c>
      <c r="K32" s="84" t="s">
        <v>1140</v>
      </c>
    </row>
    <row r="33" spans="3:11" x14ac:dyDescent="0.35">
      <c r="C33" s="84" t="s">
        <v>26</v>
      </c>
      <c r="D33" s="84" t="s">
        <v>1141</v>
      </c>
      <c r="E33" s="84" t="s">
        <v>1164</v>
      </c>
      <c r="G33" s="84" t="s">
        <v>1158</v>
      </c>
      <c r="H33" s="84" t="s">
        <v>1107</v>
      </c>
      <c r="I33" s="84" t="s">
        <v>1136</v>
      </c>
      <c r="J33" s="84" t="s">
        <v>26</v>
      </c>
      <c r="K33" s="84" t="s">
        <v>1142</v>
      </c>
    </row>
    <row r="34" spans="3:11" ht="52" x14ac:dyDescent="0.35">
      <c r="C34" s="84" t="s">
        <v>1143</v>
      </c>
      <c r="D34" s="84" t="s">
        <v>1144</v>
      </c>
      <c r="E34" s="84" t="s">
        <v>1523</v>
      </c>
      <c r="G34" s="84" t="s">
        <v>1158</v>
      </c>
      <c r="H34" s="84" t="s">
        <v>1107</v>
      </c>
      <c r="I34" s="84" t="s">
        <v>1107</v>
      </c>
      <c r="J34" s="84" t="s">
        <v>1145</v>
      </c>
      <c r="K34" s="84" t="s">
        <v>1146</v>
      </c>
    </row>
    <row r="35" spans="3:11" ht="52" x14ac:dyDescent="0.35">
      <c r="C35" s="84" t="s">
        <v>1147</v>
      </c>
      <c r="D35" s="84" t="s">
        <v>26</v>
      </c>
      <c r="G35" s="84" t="s">
        <v>1158</v>
      </c>
      <c r="H35" s="84" t="s">
        <v>1148</v>
      </c>
    </row>
    <row r="36" spans="3:11" ht="65" x14ac:dyDescent="0.35">
      <c r="C36" s="84" t="s">
        <v>1149</v>
      </c>
      <c r="D36" s="84" t="s">
        <v>26</v>
      </c>
      <c r="G36" s="84" t="s">
        <v>1158</v>
      </c>
      <c r="I36" s="84" t="s">
        <v>14</v>
      </c>
    </row>
    <row r="37" spans="3:11" ht="143" x14ac:dyDescent="0.35">
      <c r="C37" s="84" t="s">
        <v>1150</v>
      </c>
      <c r="D37" s="84" t="s">
        <v>198</v>
      </c>
      <c r="E37" s="84" t="s">
        <v>1164</v>
      </c>
      <c r="G37" s="84" t="s">
        <v>1158</v>
      </c>
      <c r="H37" s="84" t="s">
        <v>1107</v>
      </c>
      <c r="I37" s="84" t="s">
        <v>1107</v>
      </c>
      <c r="J37" s="84" t="s">
        <v>26</v>
      </c>
      <c r="K37" s="84" t="s">
        <v>1151</v>
      </c>
    </row>
    <row r="38" spans="3:11" ht="26" x14ac:dyDescent="0.35">
      <c r="C38" s="84" t="s">
        <v>1152</v>
      </c>
      <c r="D38" s="84" t="s">
        <v>26</v>
      </c>
      <c r="G38" s="84" t="s">
        <v>1158</v>
      </c>
      <c r="H38" s="84" t="s">
        <v>1153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B3D2-E8ED-4E74-A73D-02EB37AA0E9D}">
  <dimension ref="A1"/>
  <sheetViews>
    <sheetView workbookViewId="0">
      <selection activeCell="D26" sqref="D26"/>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00eae9-6139-4eb4-bcab-6aa29d7658dc">
      <Terms xmlns="http://schemas.microsoft.com/office/infopath/2007/PartnerControls"/>
    </lcf76f155ced4ddcb4097134ff3c332f>
    <TaxCatchAll xmlns="0f344626-ab78-4a81-82c6-796f8492ed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2EDF9FD1CFC804E92507A1B091DFAD2" ma:contentTypeVersion="13" ma:contentTypeDescription="Create a new document." ma:contentTypeScope="" ma:versionID="2fa6e8091fa6eb39d8b51df46280ee19">
  <xsd:schema xmlns:xsd="http://www.w3.org/2001/XMLSchema" xmlns:xs="http://www.w3.org/2001/XMLSchema" xmlns:p="http://schemas.microsoft.com/office/2006/metadata/properties" xmlns:ns2="7600eae9-6139-4eb4-bcab-6aa29d7658dc" xmlns:ns3="0f344626-ab78-4a81-82c6-796f8492ed53" targetNamespace="http://schemas.microsoft.com/office/2006/metadata/properties" ma:root="true" ma:fieldsID="0d395af14e9882886a9e241f41b6c447" ns2:_="" ns3:_="">
    <xsd:import namespace="7600eae9-6139-4eb4-bcab-6aa29d7658dc"/>
    <xsd:import namespace="0f344626-ab78-4a81-82c6-796f8492ed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0eae9-6139-4eb4-bcab-6aa29d7658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909e69-79aa-40e3-9d81-dfa65e4a934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344626-ab78-4a81-82c6-796f8492ed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b02f8f0-b224-4d0e-902d-5a1293d0b600}" ma:internalName="TaxCatchAll" ma:showField="CatchAllData" ma:web="0f344626-ab78-4a81-82c6-796f8492e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39FD1D-BF80-4DC4-8B94-9E59C939B80E}">
  <ds:schemaRefs>
    <ds:schemaRef ds:uri="http://schemas.microsoft.com/sharepoint/v3/contenttype/forms"/>
  </ds:schemaRefs>
</ds:datastoreItem>
</file>

<file path=customXml/itemProps2.xml><?xml version="1.0" encoding="utf-8"?>
<ds:datastoreItem xmlns:ds="http://schemas.openxmlformats.org/officeDocument/2006/customXml" ds:itemID="{1B7CADDB-5E14-4E8D-AC18-EB72FD78DFDD}">
  <ds:schemaRefs>
    <ds:schemaRef ds:uri="http://schemas.microsoft.com/office/2006/metadata/properties"/>
    <ds:schemaRef ds:uri="http://schemas.microsoft.com/office/infopath/2007/PartnerControls"/>
    <ds:schemaRef ds:uri="7600eae9-6139-4eb4-bcab-6aa29d7658dc"/>
    <ds:schemaRef ds:uri="0f344626-ab78-4a81-82c6-796f8492ed53"/>
  </ds:schemaRefs>
</ds:datastoreItem>
</file>

<file path=customXml/itemProps3.xml><?xml version="1.0" encoding="utf-8"?>
<ds:datastoreItem xmlns:ds="http://schemas.openxmlformats.org/officeDocument/2006/customXml" ds:itemID="{8C73623A-A94A-4EE4-97AB-2B0C2147D5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00eae9-6139-4eb4-bcab-6aa29d7658dc"/>
    <ds:schemaRef ds:uri="0f344626-ab78-4a81-82c6-796f8492e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Extraction_FPQ_RAQ (2)</vt:lpstr>
      <vt:lpstr>2_Business Rules - HON (4)</vt:lpstr>
      <vt:lpstr>2_Business Rules - HON (3)</vt:lpstr>
      <vt:lpstr>Data Model</vt:lpstr>
      <vt:lpstr>Extraction Fields_JSON</vt:lpstr>
      <vt:lpstr>eHON_Business Rules_PDF</vt:lpstr>
      <vt:lpstr>Demo</vt:lpstr>
      <vt:lpstr>Business Rules_Recommendati (2)</vt:lpstr>
      <vt:lpstr>Business Rules - HON &amp; ATR</vt:lpstr>
      <vt:lpstr>2_Business Rules - HON &amp; ATR</vt:lpstr>
      <vt:lpstr>HON</vt:lpstr>
      <vt:lpstr>ATR</vt:lpstr>
      <vt:lpstr>Extraction_ATR</vt:lpstr>
      <vt:lpstr>OLD_Extraction</vt:lpstr>
      <vt:lpstr>Business Rules_Recommendation R</vt:lpstr>
      <vt:lpstr>Business Rules_HON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Caballero</dc:creator>
  <cp:keywords/>
  <dc:description/>
  <cp:lastModifiedBy>Vedant Mayekar</cp:lastModifiedBy>
  <cp:revision/>
  <dcterms:created xsi:type="dcterms:W3CDTF">2025-11-28T16:53:10Z</dcterms:created>
  <dcterms:modified xsi:type="dcterms:W3CDTF">2026-01-16T16:19:49Z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0x010100F2EDF9FD1CFC804E92507A1B091DFAD2</vt:lpwstr>
  </property>
  <property fmtid="{D5CDD505-2E9C-101B-9397-08002B2CF9AE}" pid="3" name="MediaServiceImageTags">
    <vt:lpwstr/>
  </property>
</Properties>
</file>